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erachaipanthueng/Projects/Farm-Project/backend/src/internal/excel/excel_dailylog/"/>
    </mc:Choice>
  </mc:AlternateContent>
  <xr:revisionPtr revIDLastSave="0" documentId="13_ncr:1_{1551E956-F8EB-C64D-9AA4-CAE3375B4869}" xr6:coauthVersionLast="47" xr6:coauthVersionMax="47" xr10:uidLastSave="{00000000-0000-0000-0000-000000000000}"/>
  <bookViews>
    <workbookView xWindow="-38400" yWindow="-2480" windowWidth="38400" windowHeight="21600" xr2:uid="{61A35A29-3CBF-144B-BF6F-A17CB96CD45C}"/>
  </bookViews>
  <sheets>
    <sheet name="1 ซ้าย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3" i="2" l="1"/>
  <c r="F87" i="2"/>
  <c r="O82" i="2"/>
  <c r="L85" i="2" s="1"/>
  <c r="O85" i="2" s="1"/>
  <c r="F81" i="2"/>
  <c r="U75" i="2" s="1"/>
  <c r="L80" i="2"/>
  <c r="L79" i="2"/>
  <c r="L78" i="2"/>
  <c r="L77" i="2"/>
  <c r="L76" i="2"/>
  <c r="L75" i="2"/>
  <c r="L81" i="2" s="1"/>
  <c r="I81" i="2" s="1"/>
  <c r="F73" i="2"/>
  <c r="U67" i="2" s="1"/>
  <c r="L72" i="2"/>
  <c r="L71" i="2"/>
  <c r="L70" i="2"/>
  <c r="L69" i="2"/>
  <c r="L68" i="2"/>
  <c r="L67" i="2"/>
  <c r="L73" i="2" s="1"/>
  <c r="I73" i="2" s="1"/>
  <c r="F65" i="2"/>
  <c r="L64" i="2"/>
  <c r="L63" i="2"/>
  <c r="L62" i="2"/>
  <c r="L61" i="2"/>
  <c r="L60" i="2"/>
  <c r="L59" i="2"/>
  <c r="L58" i="2"/>
  <c r="L57" i="2"/>
  <c r="L65" i="2" s="1"/>
  <c r="K54" i="2"/>
  <c r="L47" i="2"/>
  <c r="I47" i="2"/>
  <c r="GT35" i="2"/>
  <c r="GT36" i="2" s="1"/>
  <c r="GS35" i="2"/>
  <c r="GR35" i="2"/>
  <c r="GQ35" i="2"/>
  <c r="GP35" i="2"/>
  <c r="GP36" i="2" s="1"/>
  <c r="GM35" i="2"/>
  <c r="GM36" i="2" s="1"/>
  <c r="GL35" i="2"/>
  <c r="GK35" i="2"/>
  <c r="GJ35" i="2"/>
  <c r="GI35" i="2"/>
  <c r="GI36" i="2" s="1"/>
  <c r="GF35" i="2"/>
  <c r="GF36" i="2" s="1"/>
  <c r="GE35" i="2"/>
  <c r="GD35" i="2"/>
  <c r="GC35" i="2"/>
  <c r="GB35" i="2"/>
  <c r="FY35" i="2"/>
  <c r="FY36" i="2" s="1"/>
  <c r="FX35" i="2"/>
  <c r="FW35" i="2"/>
  <c r="FW36" i="2" s="1"/>
  <c r="FV35" i="2"/>
  <c r="FU35" i="2"/>
  <c r="FR35" i="2"/>
  <c r="FR36" i="2" s="1"/>
  <c r="FQ35" i="2"/>
  <c r="FP35" i="2"/>
  <c r="FP36" i="2" s="1"/>
  <c r="FO35" i="2"/>
  <c r="FN35" i="2"/>
  <c r="FN36" i="2" s="1"/>
  <c r="FK35" i="2"/>
  <c r="FK36" i="2" s="1"/>
  <c r="FJ35" i="2"/>
  <c r="FI35" i="2"/>
  <c r="FI36" i="2" s="1"/>
  <c r="FH35" i="2"/>
  <c r="FG35" i="2"/>
  <c r="FG36" i="2" s="1"/>
  <c r="FD35" i="2"/>
  <c r="FD36" i="2" s="1"/>
  <c r="FC35" i="2"/>
  <c r="FB35" i="2"/>
  <c r="FB36" i="2" s="1"/>
  <c r="FA35" i="2"/>
  <c r="EZ35" i="2"/>
  <c r="EZ36" i="2" s="1"/>
  <c r="EW35" i="2"/>
  <c r="EW36" i="2" s="1"/>
  <c r="EV35" i="2"/>
  <c r="EU35" i="2"/>
  <c r="EU36" i="2" s="1"/>
  <c r="ET35" i="2"/>
  <c r="ES35" i="2"/>
  <c r="ES36" i="2" s="1"/>
  <c r="EP35" i="2"/>
  <c r="EP36" i="2" s="1"/>
  <c r="EO35" i="2"/>
  <c r="EN35" i="2"/>
  <c r="EM35" i="2"/>
  <c r="EL35" i="2"/>
  <c r="EL36" i="2" s="1"/>
  <c r="EI35" i="2"/>
  <c r="EI36" i="2" s="1"/>
  <c r="EH35" i="2"/>
  <c r="EG35" i="2"/>
  <c r="EG36" i="2" s="1"/>
  <c r="EF35" i="2"/>
  <c r="EE35" i="2"/>
  <c r="EB35" i="2"/>
  <c r="EB36" i="2" s="1"/>
  <c r="EA35" i="2"/>
  <c r="DZ35" i="2"/>
  <c r="DZ36" i="2" s="1"/>
  <c r="DY35" i="2"/>
  <c r="DX35" i="2"/>
  <c r="DX36" i="2" s="1"/>
  <c r="DU35" i="2"/>
  <c r="DU36" i="2" s="1"/>
  <c r="DT35" i="2"/>
  <c r="DS35" i="2"/>
  <c r="DS36" i="2" s="1"/>
  <c r="DR35" i="2"/>
  <c r="DQ35" i="2"/>
  <c r="DQ36" i="2" s="1"/>
  <c r="DN35" i="2"/>
  <c r="DN36" i="2" s="1"/>
  <c r="DM35" i="2"/>
  <c r="DL35" i="2"/>
  <c r="DL36" i="2" s="1"/>
  <c r="DK35" i="2"/>
  <c r="DJ35" i="2"/>
  <c r="DJ36" i="2" s="1"/>
  <c r="DG35" i="2"/>
  <c r="DG36" i="2" s="1"/>
  <c r="DF35" i="2"/>
  <c r="DE35" i="2"/>
  <c r="DD35" i="2"/>
  <c r="DC35" i="2"/>
  <c r="DC36" i="2" s="1"/>
  <c r="CZ35" i="2"/>
  <c r="CZ36" i="2" s="1"/>
  <c r="CY35" i="2"/>
  <c r="CX35" i="2"/>
  <c r="CX36" i="2" s="1"/>
  <c r="CW35" i="2"/>
  <c r="CV35" i="2"/>
  <c r="CV36" i="2" s="1"/>
  <c r="CS35" i="2"/>
  <c r="CS36" i="2" s="1"/>
  <c r="CR35" i="2"/>
  <c r="CQ35" i="2"/>
  <c r="CQ36" i="2" s="1"/>
  <c r="CP35" i="2"/>
  <c r="CO35" i="2"/>
  <c r="CO36" i="2" s="1"/>
  <c r="CL35" i="2"/>
  <c r="CL36" i="2" s="1"/>
  <c r="CK35" i="2"/>
  <c r="CJ35" i="2"/>
  <c r="CI35" i="2"/>
  <c r="CH35" i="2"/>
  <c r="CH36" i="2" s="1"/>
  <c r="CE35" i="2"/>
  <c r="CE36" i="2" s="1"/>
  <c r="CD35" i="2"/>
  <c r="CC35" i="2"/>
  <c r="CC36" i="2" s="1"/>
  <c r="CB35" i="2"/>
  <c r="CA35" i="2"/>
  <c r="BX35" i="2"/>
  <c r="BX36" i="2" s="1"/>
  <c r="BW35" i="2"/>
  <c r="BV35" i="2"/>
  <c r="BU35" i="2"/>
  <c r="BT35" i="2"/>
  <c r="BT36" i="2" s="1"/>
  <c r="BQ35" i="2"/>
  <c r="BQ36" i="2" s="1"/>
  <c r="BP35" i="2"/>
  <c r="BO35" i="2"/>
  <c r="BO36" i="2" s="1"/>
  <c r="BN35" i="2"/>
  <c r="BM35" i="2"/>
  <c r="BM36" i="2" s="1"/>
  <c r="BJ35" i="2"/>
  <c r="BJ36" i="2" s="1"/>
  <c r="BI35" i="2"/>
  <c r="BH35" i="2"/>
  <c r="BH36" i="2" s="1"/>
  <c r="BG35" i="2"/>
  <c r="BF35" i="2"/>
  <c r="BF36" i="2" s="1"/>
  <c r="BC35" i="2"/>
  <c r="BC36" i="2" s="1"/>
  <c r="BB35" i="2"/>
  <c r="BA35" i="2"/>
  <c r="BA36" i="2" s="1"/>
  <c r="AZ35" i="2"/>
  <c r="AY35" i="2"/>
  <c r="AY36" i="2" s="1"/>
  <c r="AV35" i="2"/>
  <c r="AV36" i="2" s="1"/>
  <c r="AU35" i="2"/>
  <c r="AT35" i="2"/>
  <c r="AT36" i="2" s="1"/>
  <c r="AS35" i="2"/>
  <c r="AR35" i="2"/>
  <c r="AO35" i="2"/>
  <c r="AO36" i="2" s="1"/>
  <c r="AN35" i="2"/>
  <c r="AM35" i="2"/>
  <c r="AM36" i="2" s="1"/>
  <c r="AL35" i="2"/>
  <c r="AK35" i="2"/>
  <c r="AH35" i="2"/>
  <c r="AH36" i="2" s="1"/>
  <c r="AG35" i="2"/>
  <c r="AF35" i="2"/>
  <c r="AF36" i="2" s="1"/>
  <c r="AE35" i="2"/>
  <c r="AD35" i="2"/>
  <c r="AD36" i="2" s="1"/>
  <c r="AA35" i="2"/>
  <c r="AA36" i="2" s="1"/>
  <c r="Z35" i="2"/>
  <c r="Y35" i="2"/>
  <c r="Y36" i="2" s="1"/>
  <c r="X35" i="2"/>
  <c r="W35" i="2"/>
  <c r="W36" i="2" s="1"/>
  <c r="T35" i="2"/>
  <c r="T36" i="2" s="1"/>
  <c r="S35" i="2"/>
  <c r="R35" i="2"/>
  <c r="R36" i="2" s="1"/>
  <c r="Q35" i="2"/>
  <c r="P35" i="2"/>
  <c r="P36" i="2" s="1"/>
  <c r="M35" i="2"/>
  <c r="M36" i="2" s="1"/>
  <c r="L35" i="2"/>
  <c r="K35" i="2"/>
  <c r="K36" i="2" s="1"/>
  <c r="J35" i="2"/>
  <c r="I35" i="2"/>
  <c r="I36" i="2" s="1"/>
  <c r="F35" i="2"/>
  <c r="F36" i="2" s="1"/>
  <c r="E35" i="2"/>
  <c r="D35" i="2"/>
  <c r="D36" i="2" s="1"/>
  <c r="C35" i="2"/>
  <c r="B35" i="2"/>
  <c r="B36" i="2" s="1"/>
  <c r="H4" i="2"/>
  <c r="H5" i="2" s="1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O4" i="2" s="1"/>
  <c r="O5" i="2" s="1"/>
  <c r="O6" i="2" s="1"/>
  <c r="O7" i="2" s="1"/>
  <c r="O8" i="2" s="1"/>
  <c r="O9" i="2" s="1"/>
  <c r="O10" i="2" s="1"/>
  <c r="O11" i="2" s="1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V4" i="2" s="1"/>
  <c r="V5" i="2" s="1"/>
  <c r="V6" i="2" s="1"/>
  <c r="V7" i="2" s="1"/>
  <c r="V8" i="2" s="1"/>
  <c r="V9" i="2" s="1"/>
  <c r="V10" i="2" s="1"/>
  <c r="V11" i="2" s="1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AC4" i="2" s="1"/>
  <c r="AC5" i="2" s="1"/>
  <c r="AC6" i="2" s="1"/>
  <c r="AC7" i="2" s="1"/>
  <c r="AC8" i="2" s="1"/>
  <c r="AC9" i="2" s="1"/>
  <c r="AC10" i="2" s="1"/>
  <c r="AC11" i="2" s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J4" i="2" s="1"/>
  <c r="AJ5" i="2" s="1"/>
  <c r="AJ6" i="2" s="1"/>
  <c r="AJ7" i="2" s="1"/>
  <c r="AJ8" i="2" s="1"/>
  <c r="AJ9" i="2" s="1"/>
  <c r="AJ10" i="2" s="1"/>
  <c r="AJ11" i="2" s="1"/>
  <c r="AJ12" i="2" s="1"/>
  <c r="AJ13" i="2" s="1"/>
  <c r="AJ14" i="2" s="1"/>
  <c r="AJ15" i="2" s="1"/>
  <c r="AJ16" i="2" s="1"/>
  <c r="AJ17" i="2" s="1"/>
  <c r="AJ18" i="2" s="1"/>
  <c r="AJ19" i="2" s="1"/>
  <c r="AJ20" i="2" s="1"/>
  <c r="AJ21" i="2" s="1"/>
  <c r="AJ22" i="2" s="1"/>
  <c r="AJ23" i="2" s="1"/>
  <c r="AJ24" i="2" s="1"/>
  <c r="AJ25" i="2" s="1"/>
  <c r="AJ26" i="2" s="1"/>
  <c r="AJ27" i="2" s="1"/>
  <c r="AJ28" i="2" s="1"/>
  <c r="AJ29" i="2" s="1"/>
  <c r="AJ30" i="2" s="1"/>
  <c r="AJ31" i="2" s="1"/>
  <c r="AJ32" i="2" s="1"/>
  <c r="AJ33" i="2" s="1"/>
  <c r="AJ34" i="2" s="1"/>
  <c r="AQ4" i="2" s="1"/>
  <c r="AQ5" i="2" s="1"/>
  <c r="AQ6" i="2" s="1"/>
  <c r="AQ7" i="2" s="1"/>
  <c r="AQ8" i="2" s="1"/>
  <c r="AQ9" i="2" s="1"/>
  <c r="AQ10" i="2" s="1"/>
  <c r="AQ11" i="2" s="1"/>
  <c r="AQ12" i="2" s="1"/>
  <c r="AQ13" i="2" s="1"/>
  <c r="AQ14" i="2" s="1"/>
  <c r="AQ15" i="2" s="1"/>
  <c r="AQ16" i="2" s="1"/>
  <c r="AQ17" i="2" s="1"/>
  <c r="AQ18" i="2" s="1"/>
  <c r="AQ19" i="2" s="1"/>
  <c r="AQ20" i="2" s="1"/>
  <c r="AQ21" i="2" s="1"/>
  <c r="AQ22" i="2" s="1"/>
  <c r="AQ23" i="2" s="1"/>
  <c r="AQ24" i="2" s="1"/>
  <c r="AQ25" i="2" s="1"/>
  <c r="AQ26" i="2" s="1"/>
  <c r="AQ27" i="2" s="1"/>
  <c r="AQ28" i="2" s="1"/>
  <c r="AQ29" i="2" s="1"/>
  <c r="AQ30" i="2" s="1"/>
  <c r="AQ31" i="2" s="1"/>
  <c r="AQ32" i="2" s="1"/>
  <c r="AQ33" i="2" s="1"/>
  <c r="AQ34" i="2" s="1"/>
  <c r="AX4" i="2" s="1"/>
  <c r="AX5" i="2" s="1"/>
  <c r="AX6" i="2" s="1"/>
  <c r="AX7" i="2" s="1"/>
  <c r="AX8" i="2" s="1"/>
  <c r="AX9" i="2" s="1"/>
  <c r="AX10" i="2" s="1"/>
  <c r="AX11" i="2" s="1"/>
  <c r="AX12" i="2" s="1"/>
  <c r="AX13" i="2" s="1"/>
  <c r="AX14" i="2" s="1"/>
  <c r="AX15" i="2" s="1"/>
  <c r="AX16" i="2" s="1"/>
  <c r="AX17" i="2" s="1"/>
  <c r="AX18" i="2" s="1"/>
  <c r="AX19" i="2" s="1"/>
  <c r="AX20" i="2" s="1"/>
  <c r="AX21" i="2" s="1"/>
  <c r="AX22" i="2" s="1"/>
  <c r="AX23" i="2" s="1"/>
  <c r="AX24" i="2" s="1"/>
  <c r="AX25" i="2" s="1"/>
  <c r="AX26" i="2" s="1"/>
  <c r="AX27" i="2" s="1"/>
  <c r="AX28" i="2" s="1"/>
  <c r="AX29" i="2" s="1"/>
  <c r="AX30" i="2" s="1"/>
  <c r="AX31" i="2" s="1"/>
  <c r="AX32" i="2" s="1"/>
  <c r="AX33" i="2" s="1"/>
  <c r="AX34" i="2" s="1"/>
  <c r="BE4" i="2" s="1"/>
  <c r="BE5" i="2" s="1"/>
  <c r="BE6" i="2" s="1"/>
  <c r="BE7" i="2" s="1"/>
  <c r="BE8" i="2" s="1"/>
  <c r="BE9" i="2" s="1"/>
  <c r="BE10" i="2" s="1"/>
  <c r="BE11" i="2" s="1"/>
  <c r="BE12" i="2" s="1"/>
  <c r="BE13" i="2" s="1"/>
  <c r="BE14" i="2" s="1"/>
  <c r="BE15" i="2" s="1"/>
  <c r="BE16" i="2" s="1"/>
  <c r="BE17" i="2" s="1"/>
  <c r="BE18" i="2" s="1"/>
  <c r="BE19" i="2" s="1"/>
  <c r="BE20" i="2" s="1"/>
  <c r="BE21" i="2" s="1"/>
  <c r="BE22" i="2" s="1"/>
  <c r="BE23" i="2" s="1"/>
  <c r="BE24" i="2" s="1"/>
  <c r="BE25" i="2" s="1"/>
  <c r="BE26" i="2" s="1"/>
  <c r="BE27" i="2" s="1"/>
  <c r="BE28" i="2" s="1"/>
  <c r="BE29" i="2" s="1"/>
  <c r="BE30" i="2" s="1"/>
  <c r="BE31" i="2" s="1"/>
  <c r="BE32" i="2" s="1"/>
  <c r="BE33" i="2" s="1"/>
  <c r="BE34" i="2" s="1"/>
  <c r="BL4" i="2" s="1"/>
  <c r="BL5" i="2" s="1"/>
  <c r="BL6" i="2" s="1"/>
  <c r="BL7" i="2" s="1"/>
  <c r="BL8" i="2" s="1"/>
  <c r="BL9" i="2" s="1"/>
  <c r="BL10" i="2" s="1"/>
  <c r="BL11" i="2" s="1"/>
  <c r="BL12" i="2" s="1"/>
  <c r="BL13" i="2" s="1"/>
  <c r="BL14" i="2" s="1"/>
  <c r="BL15" i="2" s="1"/>
  <c r="BL16" i="2" s="1"/>
  <c r="BL17" i="2" s="1"/>
  <c r="BL18" i="2" s="1"/>
  <c r="BL19" i="2" s="1"/>
  <c r="BL20" i="2" s="1"/>
  <c r="BL21" i="2" s="1"/>
  <c r="BL22" i="2" s="1"/>
  <c r="BL23" i="2" s="1"/>
  <c r="BL24" i="2" s="1"/>
  <c r="BL25" i="2" s="1"/>
  <c r="BL26" i="2" s="1"/>
  <c r="BL27" i="2" s="1"/>
  <c r="BL28" i="2" s="1"/>
  <c r="BL29" i="2" s="1"/>
  <c r="BL30" i="2" s="1"/>
  <c r="BL31" i="2" s="1"/>
  <c r="BL32" i="2" s="1"/>
  <c r="BL33" i="2" s="1"/>
  <c r="BL34" i="2" s="1"/>
  <c r="BS4" i="2" s="1"/>
  <c r="BS5" i="2" s="1"/>
  <c r="BS6" i="2" s="1"/>
  <c r="BS7" i="2" s="1"/>
  <c r="BS8" i="2" s="1"/>
  <c r="BS9" i="2" s="1"/>
  <c r="BS10" i="2" s="1"/>
  <c r="BS11" i="2" s="1"/>
  <c r="BS12" i="2" s="1"/>
  <c r="BS13" i="2" s="1"/>
  <c r="BS14" i="2" s="1"/>
  <c r="BS15" i="2" s="1"/>
  <c r="BS16" i="2" s="1"/>
  <c r="BS17" i="2" s="1"/>
  <c r="BS18" i="2" s="1"/>
  <c r="BS19" i="2" s="1"/>
  <c r="BS20" i="2" s="1"/>
  <c r="BS21" i="2" s="1"/>
  <c r="BS22" i="2" s="1"/>
  <c r="BS23" i="2" s="1"/>
  <c r="BS24" i="2" s="1"/>
  <c r="BS25" i="2" s="1"/>
  <c r="BS26" i="2" s="1"/>
  <c r="BS27" i="2" s="1"/>
  <c r="BS28" i="2" s="1"/>
  <c r="BS29" i="2" s="1"/>
  <c r="BS30" i="2" s="1"/>
  <c r="BS31" i="2" s="1"/>
  <c r="BS32" i="2" s="1"/>
  <c r="BS33" i="2" s="1"/>
  <c r="BS34" i="2" s="1"/>
  <c r="BZ4" i="2" s="1"/>
  <c r="BZ5" i="2" s="1"/>
  <c r="BZ6" i="2" s="1"/>
  <c r="BZ7" i="2" s="1"/>
  <c r="BZ8" i="2" s="1"/>
  <c r="BZ9" i="2" s="1"/>
  <c r="BZ10" i="2" s="1"/>
  <c r="BZ11" i="2" s="1"/>
  <c r="BZ12" i="2" s="1"/>
  <c r="BZ13" i="2" s="1"/>
  <c r="BZ14" i="2" s="1"/>
  <c r="BZ15" i="2" s="1"/>
  <c r="BZ16" i="2" s="1"/>
  <c r="BZ17" i="2" s="1"/>
  <c r="BZ18" i="2" s="1"/>
  <c r="BZ19" i="2" s="1"/>
  <c r="BZ20" i="2" s="1"/>
  <c r="BZ21" i="2" s="1"/>
  <c r="BZ22" i="2" s="1"/>
  <c r="BZ23" i="2" s="1"/>
  <c r="BZ24" i="2" s="1"/>
  <c r="BZ25" i="2" s="1"/>
  <c r="BZ26" i="2" s="1"/>
  <c r="BZ27" i="2" s="1"/>
  <c r="BZ28" i="2" s="1"/>
  <c r="BZ29" i="2" s="1"/>
  <c r="BZ30" i="2" s="1"/>
  <c r="BZ31" i="2" s="1"/>
  <c r="BZ32" i="2" s="1"/>
  <c r="BZ33" i="2" s="1"/>
  <c r="BZ34" i="2" s="1"/>
  <c r="CG4" i="2" s="1"/>
  <c r="CG5" i="2" s="1"/>
  <c r="CG6" i="2" s="1"/>
  <c r="CG7" i="2" s="1"/>
  <c r="CG8" i="2" s="1"/>
  <c r="CG9" i="2" s="1"/>
  <c r="CG10" i="2" s="1"/>
  <c r="CG11" i="2" s="1"/>
  <c r="CG12" i="2" s="1"/>
  <c r="CG13" i="2" s="1"/>
  <c r="CG14" i="2" s="1"/>
  <c r="CG15" i="2" s="1"/>
  <c r="CG16" i="2" s="1"/>
  <c r="CG17" i="2" s="1"/>
  <c r="CG18" i="2" s="1"/>
  <c r="CG19" i="2" s="1"/>
  <c r="CG20" i="2" s="1"/>
  <c r="CG21" i="2" s="1"/>
  <c r="CG22" i="2" s="1"/>
  <c r="CG23" i="2" s="1"/>
  <c r="CG24" i="2" s="1"/>
  <c r="CG25" i="2" s="1"/>
  <c r="CG26" i="2" s="1"/>
  <c r="CG27" i="2" s="1"/>
  <c r="CG28" i="2" s="1"/>
  <c r="CG29" i="2" s="1"/>
  <c r="CG30" i="2" s="1"/>
  <c r="CG31" i="2" s="1"/>
  <c r="CG32" i="2" s="1"/>
  <c r="CG33" i="2" s="1"/>
  <c r="CG34" i="2" s="1"/>
  <c r="CN4" i="2" s="1"/>
  <c r="CN5" i="2" s="1"/>
  <c r="CN6" i="2" s="1"/>
  <c r="CN7" i="2" s="1"/>
  <c r="CN8" i="2" s="1"/>
  <c r="CN9" i="2" s="1"/>
  <c r="CN10" i="2" s="1"/>
  <c r="CN11" i="2" s="1"/>
  <c r="CN12" i="2" s="1"/>
  <c r="CN13" i="2" s="1"/>
  <c r="CN14" i="2" s="1"/>
  <c r="CN15" i="2" s="1"/>
  <c r="CN16" i="2" s="1"/>
  <c r="CN17" i="2" s="1"/>
  <c r="CN18" i="2" s="1"/>
  <c r="CN19" i="2" s="1"/>
  <c r="CN20" i="2" s="1"/>
  <c r="CN21" i="2" s="1"/>
  <c r="CN22" i="2" s="1"/>
  <c r="CN23" i="2" s="1"/>
  <c r="CN24" i="2" s="1"/>
  <c r="CN25" i="2" s="1"/>
  <c r="CN26" i="2" s="1"/>
  <c r="CN27" i="2" s="1"/>
  <c r="CN28" i="2" s="1"/>
  <c r="CN29" i="2" s="1"/>
  <c r="CN30" i="2" s="1"/>
  <c r="CN31" i="2" s="1"/>
  <c r="CN32" i="2" s="1"/>
  <c r="CN33" i="2" s="1"/>
  <c r="CN34" i="2" s="1"/>
  <c r="CU4" i="2" s="1"/>
  <c r="CU5" i="2" s="1"/>
  <c r="CU6" i="2" s="1"/>
  <c r="CU7" i="2" s="1"/>
  <c r="CU8" i="2" s="1"/>
  <c r="CU9" i="2" s="1"/>
  <c r="CU10" i="2" s="1"/>
  <c r="CU11" i="2" s="1"/>
  <c r="CU12" i="2" s="1"/>
  <c r="CU13" i="2" s="1"/>
  <c r="CU14" i="2" s="1"/>
  <c r="CU15" i="2" s="1"/>
  <c r="CU16" i="2" s="1"/>
  <c r="CU17" i="2" s="1"/>
  <c r="CU18" i="2" s="1"/>
  <c r="CU19" i="2" s="1"/>
  <c r="CU20" i="2" s="1"/>
  <c r="CU21" i="2" s="1"/>
  <c r="CU22" i="2" s="1"/>
  <c r="CU23" i="2" s="1"/>
  <c r="CU24" i="2" s="1"/>
  <c r="CU25" i="2" s="1"/>
  <c r="CU26" i="2" s="1"/>
  <c r="CU27" i="2" s="1"/>
  <c r="CU28" i="2" s="1"/>
  <c r="CU29" i="2" s="1"/>
  <c r="CU30" i="2" s="1"/>
  <c r="CU31" i="2" s="1"/>
  <c r="CU32" i="2" s="1"/>
  <c r="CU33" i="2" s="1"/>
  <c r="CU34" i="2" s="1"/>
  <c r="DB4" i="2" s="1"/>
  <c r="DB5" i="2" s="1"/>
  <c r="DB6" i="2" s="1"/>
  <c r="DB7" i="2" s="1"/>
  <c r="DB8" i="2" s="1"/>
  <c r="DB9" i="2" s="1"/>
  <c r="DB10" i="2" s="1"/>
  <c r="DB11" i="2" s="1"/>
  <c r="DB12" i="2" s="1"/>
  <c r="DB13" i="2" s="1"/>
  <c r="DB14" i="2" s="1"/>
  <c r="DB15" i="2" s="1"/>
  <c r="DB16" i="2" s="1"/>
  <c r="DB17" i="2" s="1"/>
  <c r="DB18" i="2" s="1"/>
  <c r="DB19" i="2" s="1"/>
  <c r="DB20" i="2" s="1"/>
  <c r="DB21" i="2" s="1"/>
  <c r="DB22" i="2" s="1"/>
  <c r="DB23" i="2" s="1"/>
  <c r="DB24" i="2" s="1"/>
  <c r="DB25" i="2" s="1"/>
  <c r="DB26" i="2" s="1"/>
  <c r="DB27" i="2" s="1"/>
  <c r="DB28" i="2" s="1"/>
  <c r="DB29" i="2" s="1"/>
  <c r="DB30" i="2" s="1"/>
  <c r="DB31" i="2" s="1"/>
  <c r="DB32" i="2" s="1"/>
  <c r="DB33" i="2" s="1"/>
  <c r="DB34" i="2" s="1"/>
  <c r="DI4" i="2" s="1"/>
  <c r="DI5" i="2" s="1"/>
  <c r="DI6" i="2" s="1"/>
  <c r="DI7" i="2" s="1"/>
  <c r="DI8" i="2" s="1"/>
  <c r="DI9" i="2" s="1"/>
  <c r="DI10" i="2" s="1"/>
  <c r="DI11" i="2" s="1"/>
  <c r="DI12" i="2" s="1"/>
  <c r="DI13" i="2" s="1"/>
  <c r="DI14" i="2" s="1"/>
  <c r="DI15" i="2" s="1"/>
  <c r="DI16" i="2" s="1"/>
  <c r="DI17" i="2" s="1"/>
  <c r="DI18" i="2" s="1"/>
  <c r="DI19" i="2" s="1"/>
  <c r="DI20" i="2" s="1"/>
  <c r="DI21" i="2" s="1"/>
  <c r="DI22" i="2" s="1"/>
  <c r="DI23" i="2" s="1"/>
  <c r="DI24" i="2" s="1"/>
  <c r="DI25" i="2" s="1"/>
  <c r="DI26" i="2" s="1"/>
  <c r="DI27" i="2" s="1"/>
  <c r="DI28" i="2" s="1"/>
  <c r="DI29" i="2" s="1"/>
  <c r="DI30" i="2" s="1"/>
  <c r="DI31" i="2" s="1"/>
  <c r="DI32" i="2" s="1"/>
  <c r="DI33" i="2" s="1"/>
  <c r="DI34" i="2" s="1"/>
  <c r="DP4" i="2" s="1"/>
  <c r="DP5" i="2" s="1"/>
  <c r="DP6" i="2" s="1"/>
  <c r="DP7" i="2" s="1"/>
  <c r="DP8" i="2" s="1"/>
  <c r="DP9" i="2" s="1"/>
  <c r="DP10" i="2" s="1"/>
  <c r="DP11" i="2" s="1"/>
  <c r="DP12" i="2" s="1"/>
  <c r="DP13" i="2" s="1"/>
  <c r="DP14" i="2" s="1"/>
  <c r="DP15" i="2" s="1"/>
  <c r="DP16" i="2" s="1"/>
  <c r="DP17" i="2" s="1"/>
  <c r="DP18" i="2" s="1"/>
  <c r="DP19" i="2" s="1"/>
  <c r="DP20" i="2" s="1"/>
  <c r="DP21" i="2" s="1"/>
  <c r="DP22" i="2" s="1"/>
  <c r="DP23" i="2" s="1"/>
  <c r="DP24" i="2" s="1"/>
  <c r="DP25" i="2" s="1"/>
  <c r="DP26" i="2" s="1"/>
  <c r="DP27" i="2" s="1"/>
  <c r="DP28" i="2" s="1"/>
  <c r="DP29" i="2" s="1"/>
  <c r="DP30" i="2" s="1"/>
  <c r="DP31" i="2" s="1"/>
  <c r="DP32" i="2" s="1"/>
  <c r="DP33" i="2" s="1"/>
  <c r="DP34" i="2" s="1"/>
  <c r="DW4" i="2" s="1"/>
  <c r="DW5" i="2" s="1"/>
  <c r="DW6" i="2" s="1"/>
  <c r="DW7" i="2" s="1"/>
  <c r="DW8" i="2" s="1"/>
  <c r="DW9" i="2" s="1"/>
  <c r="DW10" i="2" s="1"/>
  <c r="DW11" i="2" s="1"/>
  <c r="DW12" i="2" s="1"/>
  <c r="DW13" i="2" s="1"/>
  <c r="DW14" i="2" s="1"/>
  <c r="DW15" i="2" s="1"/>
  <c r="DW16" i="2" s="1"/>
  <c r="DW17" i="2" s="1"/>
  <c r="DW18" i="2" s="1"/>
  <c r="DW19" i="2" s="1"/>
  <c r="DW20" i="2" s="1"/>
  <c r="DW21" i="2" s="1"/>
  <c r="DW22" i="2" s="1"/>
  <c r="DW23" i="2" s="1"/>
  <c r="DW24" i="2" s="1"/>
  <c r="DW25" i="2" s="1"/>
  <c r="DW26" i="2" s="1"/>
  <c r="DW27" i="2" s="1"/>
  <c r="DW28" i="2" s="1"/>
  <c r="DW29" i="2" s="1"/>
  <c r="DW30" i="2" s="1"/>
  <c r="DW31" i="2" s="1"/>
  <c r="DW32" i="2" s="1"/>
  <c r="DW33" i="2" s="1"/>
  <c r="DW34" i="2" s="1"/>
  <c r="ED4" i="2" s="1"/>
  <c r="ED5" i="2" s="1"/>
  <c r="ED6" i="2" s="1"/>
  <c r="ED7" i="2" s="1"/>
  <c r="ED8" i="2" s="1"/>
  <c r="ED9" i="2" s="1"/>
  <c r="ED10" i="2" s="1"/>
  <c r="ED11" i="2" s="1"/>
  <c r="ED12" i="2" s="1"/>
  <c r="ED13" i="2" s="1"/>
  <c r="ED14" i="2" s="1"/>
  <c r="ED15" i="2" s="1"/>
  <c r="ED16" i="2" s="1"/>
  <c r="ED17" i="2" s="1"/>
  <c r="ED18" i="2" s="1"/>
  <c r="ED19" i="2" s="1"/>
  <c r="ED20" i="2" s="1"/>
  <c r="ED21" i="2" s="1"/>
  <c r="ED22" i="2" s="1"/>
  <c r="ED23" i="2" s="1"/>
  <c r="ED24" i="2" s="1"/>
  <c r="ED25" i="2" s="1"/>
  <c r="ED26" i="2" s="1"/>
  <c r="ED27" i="2" s="1"/>
  <c r="ED28" i="2" s="1"/>
  <c r="ED29" i="2" s="1"/>
  <c r="ED30" i="2" s="1"/>
  <c r="ED31" i="2" s="1"/>
  <c r="ED32" i="2" s="1"/>
  <c r="ED33" i="2" s="1"/>
  <c r="ED34" i="2" s="1"/>
  <c r="EK4" i="2" s="1"/>
  <c r="EK5" i="2" s="1"/>
  <c r="EK6" i="2" s="1"/>
  <c r="EK7" i="2" s="1"/>
  <c r="EK8" i="2" s="1"/>
  <c r="EK9" i="2" s="1"/>
  <c r="EK10" i="2" s="1"/>
  <c r="EK11" i="2" s="1"/>
  <c r="EK12" i="2" s="1"/>
  <c r="EK13" i="2" s="1"/>
  <c r="EK14" i="2" s="1"/>
  <c r="EK15" i="2" s="1"/>
  <c r="EK16" i="2" s="1"/>
  <c r="EK17" i="2" s="1"/>
  <c r="EK18" i="2" s="1"/>
  <c r="EK19" i="2" s="1"/>
  <c r="EK20" i="2" s="1"/>
  <c r="EK21" i="2" s="1"/>
  <c r="EK22" i="2" s="1"/>
  <c r="EK23" i="2" s="1"/>
  <c r="EK24" i="2" s="1"/>
  <c r="EK25" i="2" s="1"/>
  <c r="EK26" i="2" s="1"/>
  <c r="EK27" i="2" s="1"/>
  <c r="EK28" i="2" s="1"/>
  <c r="EK29" i="2" s="1"/>
  <c r="EK30" i="2" s="1"/>
  <c r="EK31" i="2" s="1"/>
  <c r="EK32" i="2" s="1"/>
  <c r="EK33" i="2" s="1"/>
  <c r="EK34" i="2" s="1"/>
  <c r="ER4" i="2" s="1"/>
  <c r="ER5" i="2" s="1"/>
  <c r="ER6" i="2" s="1"/>
  <c r="ER7" i="2" s="1"/>
  <c r="ER8" i="2" s="1"/>
  <c r="ER9" i="2" s="1"/>
  <c r="ER10" i="2" s="1"/>
  <c r="ER11" i="2" s="1"/>
  <c r="ER12" i="2" s="1"/>
  <c r="ER13" i="2" s="1"/>
  <c r="ER14" i="2" s="1"/>
  <c r="ER15" i="2" s="1"/>
  <c r="ER16" i="2" s="1"/>
  <c r="ER17" i="2" s="1"/>
  <c r="ER18" i="2" s="1"/>
  <c r="ER19" i="2" s="1"/>
  <c r="ER20" i="2" s="1"/>
  <c r="ER21" i="2" s="1"/>
  <c r="ER22" i="2" s="1"/>
  <c r="ER23" i="2" s="1"/>
  <c r="ER24" i="2" s="1"/>
  <c r="ER25" i="2" s="1"/>
  <c r="ER26" i="2" s="1"/>
  <c r="ER27" i="2" s="1"/>
  <c r="ER28" i="2" s="1"/>
  <c r="ER29" i="2" s="1"/>
  <c r="ER30" i="2" s="1"/>
  <c r="ER31" i="2" s="1"/>
  <c r="ER32" i="2" s="1"/>
  <c r="ER33" i="2" s="1"/>
  <c r="ER34" i="2" s="1"/>
  <c r="EY4" i="2" s="1"/>
  <c r="EY5" i="2" s="1"/>
  <c r="EY6" i="2" s="1"/>
  <c r="EY7" i="2" s="1"/>
  <c r="EY8" i="2" s="1"/>
  <c r="EY9" i="2" s="1"/>
  <c r="EY10" i="2" s="1"/>
  <c r="EY11" i="2" s="1"/>
  <c r="EY12" i="2" s="1"/>
  <c r="EY13" i="2" s="1"/>
  <c r="EY14" i="2" s="1"/>
  <c r="EY15" i="2" s="1"/>
  <c r="EY16" i="2" s="1"/>
  <c r="EY17" i="2" s="1"/>
  <c r="EY18" i="2" s="1"/>
  <c r="EY19" i="2" s="1"/>
  <c r="EY20" i="2" s="1"/>
  <c r="EY21" i="2" s="1"/>
  <c r="EY22" i="2" s="1"/>
  <c r="EY23" i="2" s="1"/>
  <c r="EY24" i="2" s="1"/>
  <c r="EY25" i="2" s="1"/>
  <c r="EY26" i="2" s="1"/>
  <c r="EY27" i="2" s="1"/>
  <c r="EY28" i="2" s="1"/>
  <c r="EY29" i="2" s="1"/>
  <c r="EY30" i="2" s="1"/>
  <c r="EY31" i="2" s="1"/>
  <c r="EY32" i="2" s="1"/>
  <c r="EY33" i="2" s="1"/>
  <c r="EY34" i="2" s="1"/>
  <c r="FF4" i="2" s="1"/>
  <c r="FF5" i="2" s="1"/>
  <c r="FF6" i="2" s="1"/>
  <c r="FF7" i="2" s="1"/>
  <c r="FF8" i="2" s="1"/>
  <c r="FF9" i="2" s="1"/>
  <c r="FF10" i="2" s="1"/>
  <c r="FF11" i="2" s="1"/>
  <c r="FF12" i="2" s="1"/>
  <c r="FF13" i="2" s="1"/>
  <c r="FF14" i="2" s="1"/>
  <c r="FF15" i="2" s="1"/>
  <c r="FF16" i="2" s="1"/>
  <c r="FF17" i="2" s="1"/>
  <c r="FF18" i="2" s="1"/>
  <c r="FF19" i="2" s="1"/>
  <c r="FF20" i="2" s="1"/>
  <c r="FF21" i="2" s="1"/>
  <c r="FF22" i="2" s="1"/>
  <c r="FF23" i="2" s="1"/>
  <c r="FF24" i="2" s="1"/>
  <c r="FF25" i="2" s="1"/>
  <c r="FF26" i="2" s="1"/>
  <c r="FF27" i="2" s="1"/>
  <c r="FF28" i="2" s="1"/>
  <c r="FF29" i="2" s="1"/>
  <c r="FF30" i="2" s="1"/>
  <c r="FF31" i="2" s="1"/>
  <c r="FF32" i="2" s="1"/>
  <c r="FF33" i="2" s="1"/>
  <c r="FF34" i="2" s="1"/>
  <c r="FM4" i="2" s="1"/>
  <c r="FM5" i="2" s="1"/>
  <c r="FM6" i="2" s="1"/>
  <c r="FM7" i="2" s="1"/>
  <c r="FM8" i="2" s="1"/>
  <c r="FM9" i="2" s="1"/>
  <c r="FM10" i="2" s="1"/>
  <c r="FM11" i="2" s="1"/>
  <c r="FM12" i="2" s="1"/>
  <c r="FM13" i="2" s="1"/>
  <c r="FM14" i="2" s="1"/>
  <c r="FM15" i="2" s="1"/>
  <c r="FM16" i="2" s="1"/>
  <c r="FM17" i="2" s="1"/>
  <c r="FM18" i="2" s="1"/>
  <c r="FM19" i="2" s="1"/>
  <c r="FM20" i="2" s="1"/>
  <c r="FM21" i="2" s="1"/>
  <c r="FM22" i="2" s="1"/>
  <c r="FM23" i="2" s="1"/>
  <c r="FM24" i="2" s="1"/>
  <c r="FM25" i="2" s="1"/>
  <c r="FM26" i="2" s="1"/>
  <c r="FM27" i="2" s="1"/>
  <c r="FM28" i="2" s="1"/>
  <c r="FM29" i="2" s="1"/>
  <c r="FM30" i="2" s="1"/>
  <c r="FM31" i="2" s="1"/>
  <c r="FM32" i="2" s="1"/>
  <c r="FM33" i="2" s="1"/>
  <c r="FM34" i="2" s="1"/>
  <c r="FT4" i="2" s="1"/>
  <c r="FT5" i="2" s="1"/>
  <c r="FT6" i="2" s="1"/>
  <c r="FT7" i="2" s="1"/>
  <c r="FT8" i="2" s="1"/>
  <c r="FT9" i="2" s="1"/>
  <c r="FT10" i="2" s="1"/>
  <c r="FT11" i="2" s="1"/>
  <c r="FT12" i="2" s="1"/>
  <c r="FT13" i="2" s="1"/>
  <c r="FT14" i="2" s="1"/>
  <c r="FT15" i="2" s="1"/>
  <c r="FT16" i="2" s="1"/>
  <c r="FT17" i="2" s="1"/>
  <c r="FT18" i="2" s="1"/>
  <c r="FT19" i="2" s="1"/>
  <c r="FT20" i="2" s="1"/>
  <c r="FT21" i="2" s="1"/>
  <c r="FT22" i="2" s="1"/>
  <c r="FT23" i="2" s="1"/>
  <c r="FT24" i="2" s="1"/>
  <c r="FT25" i="2" s="1"/>
  <c r="FT26" i="2" s="1"/>
  <c r="FT27" i="2" s="1"/>
  <c r="FT28" i="2" s="1"/>
  <c r="FT29" i="2" s="1"/>
  <c r="FT30" i="2" s="1"/>
  <c r="FT31" i="2" s="1"/>
  <c r="FT32" i="2" s="1"/>
  <c r="FT33" i="2" s="1"/>
  <c r="FT34" i="2" s="1"/>
  <c r="GA4" i="2" s="1"/>
  <c r="GA5" i="2" s="1"/>
  <c r="GA6" i="2" s="1"/>
  <c r="GA7" i="2" s="1"/>
  <c r="GA8" i="2" s="1"/>
  <c r="GA9" i="2" s="1"/>
  <c r="GA10" i="2" s="1"/>
  <c r="GA11" i="2" s="1"/>
  <c r="GA12" i="2" s="1"/>
  <c r="GA13" i="2" s="1"/>
  <c r="GA14" i="2" s="1"/>
  <c r="GA15" i="2" s="1"/>
  <c r="GA16" i="2" s="1"/>
  <c r="GA17" i="2" s="1"/>
  <c r="GA18" i="2" s="1"/>
  <c r="GA19" i="2" s="1"/>
  <c r="GA20" i="2" s="1"/>
  <c r="GA21" i="2" s="1"/>
  <c r="GA22" i="2" s="1"/>
  <c r="GA23" i="2" s="1"/>
  <c r="GA24" i="2" s="1"/>
  <c r="GA25" i="2" s="1"/>
  <c r="GA26" i="2" s="1"/>
  <c r="GA27" i="2" s="1"/>
  <c r="GA28" i="2" s="1"/>
  <c r="GA29" i="2" s="1"/>
  <c r="GA30" i="2" s="1"/>
  <c r="GA31" i="2" s="1"/>
  <c r="GA32" i="2" s="1"/>
  <c r="GA33" i="2" s="1"/>
  <c r="GA34" i="2" s="1"/>
  <c r="GH4" i="2" s="1"/>
  <c r="GH5" i="2" s="1"/>
  <c r="GH6" i="2" s="1"/>
  <c r="GH7" i="2" s="1"/>
  <c r="GH8" i="2" s="1"/>
  <c r="GH9" i="2" s="1"/>
  <c r="GH10" i="2" s="1"/>
  <c r="GH11" i="2" s="1"/>
  <c r="GH12" i="2" s="1"/>
  <c r="GH13" i="2" s="1"/>
  <c r="GH14" i="2" s="1"/>
  <c r="GH15" i="2" s="1"/>
  <c r="GH16" i="2" s="1"/>
  <c r="GH17" i="2" s="1"/>
  <c r="GH18" i="2" s="1"/>
  <c r="GH19" i="2" s="1"/>
  <c r="GH20" i="2" s="1"/>
  <c r="GH21" i="2" s="1"/>
  <c r="GH22" i="2" s="1"/>
  <c r="GH23" i="2" s="1"/>
  <c r="GH24" i="2" s="1"/>
  <c r="GH25" i="2" s="1"/>
  <c r="GH26" i="2" s="1"/>
  <c r="GH27" i="2" s="1"/>
  <c r="GH28" i="2" s="1"/>
  <c r="GH29" i="2" s="1"/>
  <c r="GH30" i="2" s="1"/>
  <c r="GH31" i="2" s="1"/>
  <c r="GH32" i="2" s="1"/>
  <c r="GH33" i="2" s="1"/>
  <c r="GH34" i="2" s="1"/>
  <c r="GO4" i="2" s="1"/>
  <c r="GO5" i="2" s="1"/>
  <c r="GO6" i="2" s="1"/>
  <c r="GO7" i="2" s="1"/>
  <c r="GO8" i="2" s="1"/>
  <c r="GO9" i="2" s="1"/>
  <c r="GO10" i="2" s="1"/>
  <c r="GO11" i="2" s="1"/>
  <c r="GO12" i="2" s="1"/>
  <c r="GO13" i="2" s="1"/>
  <c r="GO14" i="2" s="1"/>
  <c r="GO15" i="2" s="1"/>
  <c r="GO16" i="2" s="1"/>
  <c r="GO17" i="2" s="1"/>
  <c r="GO18" i="2" s="1"/>
  <c r="GO19" i="2" s="1"/>
  <c r="GO20" i="2" s="1"/>
  <c r="GO21" i="2" s="1"/>
  <c r="GO22" i="2" s="1"/>
  <c r="GO23" i="2" s="1"/>
  <c r="GO24" i="2" s="1"/>
  <c r="GO25" i="2" s="1"/>
  <c r="GO26" i="2" s="1"/>
  <c r="GO27" i="2" s="1"/>
  <c r="GO28" i="2" s="1"/>
  <c r="GO29" i="2" s="1"/>
  <c r="GO30" i="2" s="1"/>
  <c r="GO31" i="2" s="1"/>
  <c r="GO32" i="2" s="1"/>
  <c r="GO33" i="2" s="1"/>
  <c r="GO34" i="2" s="1"/>
  <c r="GV4" i="2" s="1"/>
  <c r="GV5" i="2" s="1"/>
  <c r="GV6" i="2" s="1"/>
  <c r="GV7" i="2" s="1"/>
  <c r="GV8" i="2" s="1"/>
  <c r="GV9" i="2" s="1"/>
  <c r="GV10" i="2" s="1"/>
  <c r="GV11" i="2" s="1"/>
  <c r="GV12" i="2" s="1"/>
  <c r="GV13" i="2" s="1"/>
  <c r="GV14" i="2" s="1"/>
  <c r="GV15" i="2" s="1"/>
  <c r="GV16" i="2" s="1"/>
  <c r="GV17" i="2" s="1"/>
  <c r="GV18" i="2" s="1"/>
  <c r="GV19" i="2" s="1"/>
  <c r="GV20" i="2" s="1"/>
  <c r="GV21" i="2" s="1"/>
  <c r="GV22" i="2" s="1"/>
  <c r="GV23" i="2" s="1"/>
  <c r="GV24" i="2" s="1"/>
  <c r="GV25" i="2" s="1"/>
  <c r="GV26" i="2" s="1"/>
  <c r="GV27" i="2" s="1"/>
  <c r="GV28" i="2" s="1"/>
  <c r="GV29" i="2" s="1"/>
  <c r="GV30" i="2" s="1"/>
  <c r="GV31" i="2" s="1"/>
  <c r="GV32" i="2" s="1"/>
  <c r="GV33" i="2" s="1"/>
  <c r="GV34" i="2" s="1"/>
  <c r="T42" i="2" s="1"/>
  <c r="G4" i="2"/>
  <c r="A3" i="2"/>
  <c r="E44" i="2" l="1"/>
  <c r="L44" i="2" s="1"/>
  <c r="G5" i="2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N4" i="2" s="1"/>
  <c r="N5" i="2" s="1"/>
  <c r="N6" i="2" s="1"/>
  <c r="N7" i="2" s="1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GK36" i="2"/>
  <c r="FU36" i="2"/>
  <c r="CA36" i="2"/>
  <c r="AR36" i="2"/>
  <c r="AK36" i="2"/>
  <c r="GD36" i="2"/>
  <c r="GB36" i="2"/>
  <c r="EE36" i="2"/>
  <c r="DE36" i="2"/>
  <c r="CJ36" i="2"/>
  <c r="BV36" i="2"/>
  <c r="EN36" i="2"/>
  <c r="GR36" i="2"/>
  <c r="F94" i="2"/>
  <c r="F95" i="2"/>
  <c r="F96" i="2"/>
  <c r="I65" i="2"/>
  <c r="L82" i="2"/>
  <c r="U57" i="2"/>
  <c r="F82" i="2"/>
  <c r="E43" i="2"/>
  <c r="L43" i="2" s="1"/>
  <c r="F90" i="2" s="1"/>
  <c r="U4" i="2" l="1"/>
  <c r="U5" i="2" s="1"/>
  <c r="U6" i="2" s="1"/>
  <c r="U7" i="2" s="1"/>
  <c r="U8" i="2" s="1"/>
  <c r="U9" i="2" s="1"/>
  <c r="U10" i="2" s="1"/>
  <c r="U11" i="2" s="1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N35" i="2"/>
  <c r="E42" i="2"/>
  <c r="L42" i="2" s="1"/>
  <c r="F89" i="2" s="1"/>
  <c r="F91" i="2" s="1"/>
  <c r="F99" i="2" s="1"/>
  <c r="F98" i="2"/>
  <c r="F84" i="2"/>
  <c r="I82" i="2"/>
  <c r="U35" i="2" l="1"/>
  <c r="AB4" i="2"/>
  <c r="AB5" i="2" s="1"/>
  <c r="AB6" i="2" s="1"/>
  <c r="AB7" i="2" s="1"/>
  <c r="AB8" i="2" s="1"/>
  <c r="AB9" i="2" s="1"/>
  <c r="AB10" i="2" s="1"/>
  <c r="AB11" i="2" s="1"/>
  <c r="AB12" i="2" s="1"/>
  <c r="AB13" i="2" s="1"/>
  <c r="AB14" i="2" s="1"/>
  <c r="AB15" i="2" s="1"/>
  <c r="AB16" i="2" s="1"/>
  <c r="AB17" i="2" s="1"/>
  <c r="AB18" i="2" s="1"/>
  <c r="AB19" i="2" s="1"/>
  <c r="AB20" i="2" s="1"/>
  <c r="AB21" i="2" s="1"/>
  <c r="AB22" i="2" s="1"/>
  <c r="AB23" i="2" s="1"/>
  <c r="AB24" i="2" s="1"/>
  <c r="AB25" i="2" s="1"/>
  <c r="AB26" i="2" s="1"/>
  <c r="AB27" i="2" s="1"/>
  <c r="AB28" i="2" s="1"/>
  <c r="AB29" i="2" s="1"/>
  <c r="AB30" i="2" s="1"/>
  <c r="AB31" i="2" s="1"/>
  <c r="AB32" i="2" s="1"/>
  <c r="AB33" i="2" s="1"/>
  <c r="AB34" i="2" s="1"/>
  <c r="I89" i="2"/>
  <c r="I96" i="2"/>
  <c r="I95" i="2"/>
  <c r="I90" i="2"/>
  <c r="I93" i="2"/>
  <c r="I99" i="2"/>
  <c r="F85" i="2"/>
  <c r="I97" i="2"/>
  <c r="I98" i="2"/>
  <c r="I94" i="2"/>
  <c r="F100" i="2"/>
  <c r="I100" i="2" s="1"/>
  <c r="I91" i="2"/>
  <c r="AB35" i="2" l="1"/>
  <c r="AI4" i="2"/>
  <c r="AI5" i="2" s="1"/>
  <c r="AI6" i="2" s="1"/>
  <c r="AI7" i="2" s="1"/>
  <c r="AI8" i="2" s="1"/>
  <c r="AI9" i="2" s="1"/>
  <c r="AI10" i="2" s="1"/>
  <c r="AI11" i="2" s="1"/>
  <c r="AI12" i="2" s="1"/>
  <c r="AI13" i="2" s="1"/>
  <c r="AI14" i="2" s="1"/>
  <c r="AI15" i="2" s="1"/>
  <c r="AI16" i="2" s="1"/>
  <c r="AI17" i="2" s="1"/>
  <c r="AI18" i="2" s="1"/>
  <c r="AI19" i="2" s="1"/>
  <c r="AI20" i="2" s="1"/>
  <c r="AI21" i="2" s="1"/>
  <c r="AI22" i="2" s="1"/>
  <c r="AI23" i="2" s="1"/>
  <c r="AI24" i="2" s="1"/>
  <c r="AI25" i="2" s="1"/>
  <c r="AI26" i="2" s="1"/>
  <c r="AI27" i="2" s="1"/>
  <c r="AI28" i="2" s="1"/>
  <c r="AI29" i="2" s="1"/>
  <c r="AI30" i="2" s="1"/>
  <c r="AI31" i="2" s="1"/>
  <c r="AI32" i="2" s="1"/>
  <c r="AI33" i="2" s="1"/>
  <c r="AI34" i="2" s="1"/>
  <c r="AI35" i="2" l="1"/>
  <c r="AP4" i="2"/>
  <c r="AP5" i="2" s="1"/>
  <c r="AP6" i="2" s="1"/>
  <c r="AP7" i="2" s="1"/>
  <c r="AP8" i="2" s="1"/>
  <c r="AP9" i="2" s="1"/>
  <c r="AP10" i="2" s="1"/>
  <c r="AP11" i="2" s="1"/>
  <c r="AP12" i="2" s="1"/>
  <c r="AP13" i="2" s="1"/>
  <c r="AP14" i="2" s="1"/>
  <c r="AP15" i="2" s="1"/>
  <c r="AP16" i="2" s="1"/>
  <c r="AP17" i="2" s="1"/>
  <c r="AP18" i="2" s="1"/>
  <c r="AP19" i="2" s="1"/>
  <c r="AP20" i="2" s="1"/>
  <c r="AP21" i="2" s="1"/>
  <c r="AP22" i="2" s="1"/>
  <c r="AP23" i="2" s="1"/>
  <c r="AP24" i="2" s="1"/>
  <c r="AP25" i="2" s="1"/>
  <c r="AP26" i="2" s="1"/>
  <c r="AP27" i="2" s="1"/>
  <c r="AP28" i="2" s="1"/>
  <c r="AP29" i="2" s="1"/>
  <c r="AP30" i="2" s="1"/>
  <c r="AP31" i="2" s="1"/>
  <c r="AP32" i="2" s="1"/>
  <c r="AP33" i="2" s="1"/>
  <c r="AP34" i="2" s="1"/>
  <c r="AP35" i="2" l="1"/>
  <c r="AW4" i="2"/>
  <c r="AW5" i="2" s="1"/>
  <c r="AW6" i="2" s="1"/>
  <c r="AW7" i="2" s="1"/>
  <c r="AW8" i="2" s="1"/>
  <c r="AW9" i="2" s="1"/>
  <c r="AW10" i="2" s="1"/>
  <c r="AW11" i="2" s="1"/>
  <c r="AW12" i="2" s="1"/>
  <c r="AW13" i="2" s="1"/>
  <c r="AW14" i="2" s="1"/>
  <c r="AW15" i="2" s="1"/>
  <c r="AW16" i="2" s="1"/>
  <c r="AW17" i="2" s="1"/>
  <c r="AW18" i="2" s="1"/>
  <c r="AW19" i="2" s="1"/>
  <c r="AW20" i="2" s="1"/>
  <c r="AW21" i="2" s="1"/>
  <c r="AW22" i="2" s="1"/>
  <c r="AW23" i="2" s="1"/>
  <c r="AW24" i="2" s="1"/>
  <c r="AW25" i="2" s="1"/>
  <c r="AW26" i="2" s="1"/>
  <c r="AW27" i="2" s="1"/>
  <c r="AW28" i="2" s="1"/>
  <c r="AW29" i="2" s="1"/>
  <c r="AW30" i="2" s="1"/>
  <c r="AW31" i="2" s="1"/>
  <c r="AW32" i="2" s="1"/>
  <c r="AW33" i="2" s="1"/>
  <c r="AW34" i="2" s="1"/>
  <c r="AW35" i="2" l="1"/>
  <c r="BD4" i="2"/>
  <c r="BD5" i="2" s="1"/>
  <c r="BD6" i="2" s="1"/>
  <c r="BD7" i="2" s="1"/>
  <c r="BD8" i="2" s="1"/>
  <c r="BD9" i="2" s="1"/>
  <c r="BD10" i="2" s="1"/>
  <c r="BD11" i="2" s="1"/>
  <c r="BD12" i="2" s="1"/>
  <c r="BD13" i="2" s="1"/>
  <c r="BD14" i="2" s="1"/>
  <c r="BD15" i="2" s="1"/>
  <c r="BD16" i="2" s="1"/>
  <c r="BD17" i="2" s="1"/>
  <c r="BD18" i="2" s="1"/>
  <c r="BD19" i="2" s="1"/>
  <c r="BD20" i="2" s="1"/>
  <c r="BD21" i="2" s="1"/>
  <c r="BD22" i="2" s="1"/>
  <c r="BD23" i="2" s="1"/>
  <c r="BD24" i="2" s="1"/>
  <c r="BD25" i="2" s="1"/>
  <c r="BD26" i="2" s="1"/>
  <c r="BD27" i="2" s="1"/>
  <c r="BD28" i="2" s="1"/>
  <c r="BD29" i="2" s="1"/>
  <c r="BD30" i="2" s="1"/>
  <c r="BD31" i="2" s="1"/>
  <c r="BD32" i="2" s="1"/>
  <c r="BD33" i="2" s="1"/>
  <c r="BD34" i="2" s="1"/>
  <c r="BD35" i="2" l="1"/>
  <c r="BK4" i="2"/>
  <c r="BK5" i="2" s="1"/>
  <c r="BK6" i="2" s="1"/>
  <c r="BK7" i="2" s="1"/>
  <c r="BK8" i="2" s="1"/>
  <c r="BK9" i="2" s="1"/>
  <c r="BK10" i="2" s="1"/>
  <c r="BK11" i="2" s="1"/>
  <c r="BK12" i="2" s="1"/>
  <c r="BK13" i="2" s="1"/>
  <c r="BK14" i="2" s="1"/>
  <c r="BK15" i="2" s="1"/>
  <c r="BK16" i="2" s="1"/>
  <c r="BK17" i="2" s="1"/>
  <c r="BK18" i="2" s="1"/>
  <c r="BK19" i="2" s="1"/>
  <c r="BK20" i="2" s="1"/>
  <c r="BK21" i="2" s="1"/>
  <c r="BK22" i="2" s="1"/>
  <c r="BK23" i="2" s="1"/>
  <c r="BK24" i="2" s="1"/>
  <c r="BK25" i="2" s="1"/>
  <c r="BK26" i="2" s="1"/>
  <c r="BK27" i="2" s="1"/>
  <c r="BK28" i="2" s="1"/>
  <c r="BK29" i="2" s="1"/>
  <c r="BK30" i="2" s="1"/>
  <c r="BK31" i="2" s="1"/>
  <c r="BK32" i="2" s="1"/>
  <c r="BK33" i="2" s="1"/>
  <c r="BK34" i="2" s="1"/>
  <c r="BK35" i="2" l="1"/>
  <c r="BR4" i="2"/>
  <c r="BR5" i="2" s="1"/>
  <c r="BR6" i="2" s="1"/>
  <c r="BR7" i="2" s="1"/>
  <c r="BR8" i="2" s="1"/>
  <c r="BR9" i="2" s="1"/>
  <c r="BR10" i="2" s="1"/>
  <c r="BR11" i="2" s="1"/>
  <c r="BR12" i="2" s="1"/>
  <c r="BR13" i="2" s="1"/>
  <c r="BR14" i="2" s="1"/>
  <c r="BR15" i="2" s="1"/>
  <c r="BR16" i="2" s="1"/>
  <c r="BR17" i="2" s="1"/>
  <c r="BR18" i="2" s="1"/>
  <c r="BR19" i="2" s="1"/>
  <c r="BR20" i="2" s="1"/>
  <c r="BR21" i="2" s="1"/>
  <c r="BR22" i="2" s="1"/>
  <c r="BR23" i="2" s="1"/>
  <c r="BR24" i="2" s="1"/>
  <c r="BR25" i="2" s="1"/>
  <c r="BR26" i="2" s="1"/>
  <c r="BR27" i="2" s="1"/>
  <c r="BR28" i="2" s="1"/>
  <c r="BR29" i="2" s="1"/>
  <c r="BR30" i="2" s="1"/>
  <c r="BR31" i="2" s="1"/>
  <c r="BR32" i="2" s="1"/>
  <c r="BR33" i="2" s="1"/>
  <c r="BR34" i="2" s="1"/>
  <c r="BR35" i="2" l="1"/>
  <c r="BY4" i="2"/>
  <c r="BY5" i="2" s="1"/>
  <c r="BY6" i="2" s="1"/>
  <c r="BY7" i="2" s="1"/>
  <c r="BY8" i="2" s="1"/>
  <c r="BY9" i="2" s="1"/>
  <c r="BY10" i="2" s="1"/>
  <c r="BY11" i="2" s="1"/>
  <c r="BY12" i="2" s="1"/>
  <c r="BY13" i="2" s="1"/>
  <c r="BY14" i="2" s="1"/>
  <c r="BY15" i="2" s="1"/>
  <c r="BY16" i="2" s="1"/>
  <c r="BY17" i="2" s="1"/>
  <c r="BY18" i="2" s="1"/>
  <c r="BY19" i="2" s="1"/>
  <c r="BY20" i="2" s="1"/>
  <c r="BY21" i="2" s="1"/>
  <c r="BY22" i="2" s="1"/>
  <c r="BY23" i="2" s="1"/>
  <c r="BY24" i="2" s="1"/>
  <c r="BY25" i="2" s="1"/>
  <c r="BY26" i="2" s="1"/>
  <c r="BY27" i="2" s="1"/>
  <c r="BY28" i="2" s="1"/>
  <c r="BY29" i="2" s="1"/>
  <c r="BY30" i="2" s="1"/>
  <c r="BY31" i="2" s="1"/>
  <c r="BY32" i="2" s="1"/>
  <c r="BY33" i="2" s="1"/>
  <c r="BY34" i="2" s="1"/>
  <c r="CF4" i="2" l="1"/>
  <c r="CF5" i="2" s="1"/>
  <c r="CF6" i="2" s="1"/>
  <c r="CF7" i="2" s="1"/>
  <c r="CF8" i="2" s="1"/>
  <c r="CF9" i="2" s="1"/>
  <c r="CF10" i="2" s="1"/>
  <c r="CF11" i="2" s="1"/>
  <c r="CF12" i="2" s="1"/>
  <c r="CF13" i="2" s="1"/>
  <c r="CF14" i="2" s="1"/>
  <c r="CF15" i="2" s="1"/>
  <c r="CF16" i="2" s="1"/>
  <c r="CF17" i="2" s="1"/>
  <c r="CF18" i="2" s="1"/>
  <c r="CF19" i="2" s="1"/>
  <c r="CF20" i="2" s="1"/>
  <c r="CF21" i="2" s="1"/>
  <c r="CF22" i="2" s="1"/>
  <c r="CF23" i="2" s="1"/>
  <c r="CF24" i="2" s="1"/>
  <c r="CF25" i="2" s="1"/>
  <c r="CF26" i="2" s="1"/>
  <c r="CF27" i="2" s="1"/>
  <c r="CF28" i="2" s="1"/>
  <c r="CF29" i="2" s="1"/>
  <c r="CF30" i="2" s="1"/>
  <c r="CF31" i="2" s="1"/>
  <c r="CF32" i="2" s="1"/>
  <c r="CF33" i="2" s="1"/>
  <c r="CF34" i="2" s="1"/>
  <c r="BY35" i="2"/>
  <c r="CM4" i="2" l="1"/>
  <c r="CM5" i="2" s="1"/>
  <c r="CM6" i="2" s="1"/>
  <c r="CM7" i="2" s="1"/>
  <c r="CM8" i="2" s="1"/>
  <c r="CM9" i="2" s="1"/>
  <c r="CM10" i="2" s="1"/>
  <c r="CM11" i="2" s="1"/>
  <c r="CM12" i="2" s="1"/>
  <c r="CM13" i="2" s="1"/>
  <c r="CM14" i="2" s="1"/>
  <c r="CM15" i="2" s="1"/>
  <c r="CM16" i="2" s="1"/>
  <c r="CM17" i="2" s="1"/>
  <c r="CM18" i="2" s="1"/>
  <c r="CM19" i="2" s="1"/>
  <c r="CM20" i="2" s="1"/>
  <c r="CM21" i="2" s="1"/>
  <c r="CM22" i="2" s="1"/>
  <c r="CM23" i="2" s="1"/>
  <c r="CM24" i="2" s="1"/>
  <c r="CM25" i="2" s="1"/>
  <c r="CM26" i="2" s="1"/>
  <c r="CM27" i="2" s="1"/>
  <c r="CM28" i="2" s="1"/>
  <c r="CM29" i="2" s="1"/>
  <c r="CM30" i="2" s="1"/>
  <c r="CM31" i="2" s="1"/>
  <c r="CM32" i="2" s="1"/>
  <c r="CM33" i="2" s="1"/>
  <c r="CM34" i="2" s="1"/>
  <c r="CF35" i="2"/>
  <c r="CT4" i="2" l="1"/>
  <c r="CT5" i="2" s="1"/>
  <c r="CT6" i="2" s="1"/>
  <c r="CT7" i="2" s="1"/>
  <c r="CT8" i="2" s="1"/>
  <c r="CT9" i="2" s="1"/>
  <c r="CT10" i="2" s="1"/>
  <c r="CT11" i="2" s="1"/>
  <c r="CT12" i="2" s="1"/>
  <c r="CT13" i="2" s="1"/>
  <c r="CT14" i="2" s="1"/>
  <c r="CT15" i="2" s="1"/>
  <c r="CT16" i="2" s="1"/>
  <c r="CT17" i="2" s="1"/>
  <c r="CT18" i="2" s="1"/>
  <c r="CT19" i="2" s="1"/>
  <c r="CT20" i="2" s="1"/>
  <c r="CT21" i="2" s="1"/>
  <c r="CT22" i="2" s="1"/>
  <c r="CT23" i="2" s="1"/>
  <c r="CT24" i="2" s="1"/>
  <c r="CT25" i="2" s="1"/>
  <c r="CT26" i="2" s="1"/>
  <c r="CT27" i="2" s="1"/>
  <c r="CT28" i="2" s="1"/>
  <c r="CT29" i="2" s="1"/>
  <c r="CT30" i="2" s="1"/>
  <c r="CT31" i="2" s="1"/>
  <c r="CT32" i="2" s="1"/>
  <c r="CT33" i="2" s="1"/>
  <c r="CT34" i="2" s="1"/>
  <c r="CM35" i="2"/>
  <c r="DA4" i="2" l="1"/>
  <c r="DA5" i="2" s="1"/>
  <c r="DA6" i="2" s="1"/>
  <c r="DA7" i="2" s="1"/>
  <c r="DA8" i="2" s="1"/>
  <c r="DA9" i="2" s="1"/>
  <c r="DA10" i="2" s="1"/>
  <c r="DA11" i="2" s="1"/>
  <c r="DA12" i="2" s="1"/>
  <c r="DA13" i="2" s="1"/>
  <c r="DA14" i="2" s="1"/>
  <c r="DA15" i="2" s="1"/>
  <c r="DA16" i="2" s="1"/>
  <c r="DA17" i="2" s="1"/>
  <c r="DA18" i="2" s="1"/>
  <c r="DA19" i="2" s="1"/>
  <c r="DA20" i="2" s="1"/>
  <c r="DA21" i="2" s="1"/>
  <c r="DA22" i="2" s="1"/>
  <c r="DA23" i="2" s="1"/>
  <c r="DA24" i="2" s="1"/>
  <c r="DA25" i="2" s="1"/>
  <c r="DA26" i="2" s="1"/>
  <c r="DA27" i="2" s="1"/>
  <c r="DA28" i="2" s="1"/>
  <c r="DA29" i="2" s="1"/>
  <c r="DA30" i="2" s="1"/>
  <c r="DA31" i="2" s="1"/>
  <c r="DA32" i="2" s="1"/>
  <c r="DA33" i="2" s="1"/>
  <c r="DA34" i="2" s="1"/>
  <c r="CT35" i="2"/>
  <c r="DA35" i="2" l="1"/>
  <c r="DH4" i="2"/>
  <c r="DH5" i="2" s="1"/>
  <c r="DH6" i="2" s="1"/>
  <c r="DH7" i="2" s="1"/>
  <c r="DH8" i="2" s="1"/>
  <c r="DH9" i="2" s="1"/>
  <c r="DH10" i="2" s="1"/>
  <c r="DH11" i="2" s="1"/>
  <c r="DH12" i="2" s="1"/>
  <c r="DH13" i="2" l="1"/>
  <c r="DH14" i="2" s="1"/>
  <c r="DH15" i="2" s="1"/>
  <c r="DH16" i="2" s="1"/>
  <c r="DH17" i="2" s="1"/>
  <c r="DH18" i="2" s="1"/>
  <c r="DH19" i="2" s="1"/>
  <c r="DH20" i="2" s="1"/>
  <c r="DH21" i="2" s="1"/>
  <c r="DH22" i="2" s="1"/>
  <c r="DH23" i="2" s="1"/>
  <c r="DH24" i="2" s="1"/>
  <c r="DH25" i="2" s="1"/>
  <c r="DH26" i="2" s="1"/>
  <c r="DH27" i="2" s="1"/>
  <c r="DH28" i="2" s="1"/>
  <c r="DH29" i="2" s="1"/>
  <c r="DH30" i="2" s="1"/>
  <c r="DH31" i="2" s="1"/>
  <c r="DH32" i="2" s="1"/>
  <c r="DH33" i="2" s="1"/>
  <c r="DH34" i="2" s="1"/>
  <c r="U58" i="2"/>
  <c r="U59" i="2" s="1"/>
  <c r="DH35" i="2" l="1"/>
  <c r="DO4" i="2"/>
  <c r="DO5" i="2" s="1"/>
  <c r="DO6" i="2" s="1"/>
  <c r="DO7" i="2" s="1"/>
  <c r="DO8" i="2" s="1"/>
  <c r="DO9" i="2" s="1"/>
  <c r="DO10" i="2" s="1"/>
  <c r="DO11" i="2" s="1"/>
  <c r="DO12" i="2" s="1"/>
  <c r="DO13" i="2" s="1"/>
  <c r="DO14" i="2" s="1"/>
  <c r="DO15" i="2" s="1"/>
  <c r="DO16" i="2" s="1"/>
  <c r="DO17" i="2" s="1"/>
  <c r="DO18" i="2" s="1"/>
  <c r="DO19" i="2" s="1"/>
  <c r="DO20" i="2" s="1"/>
  <c r="DO21" i="2" s="1"/>
  <c r="DO22" i="2" s="1"/>
  <c r="DO23" i="2" s="1"/>
  <c r="DO24" i="2" s="1"/>
  <c r="DO25" i="2" s="1"/>
  <c r="DO26" i="2" s="1"/>
  <c r="DO27" i="2" s="1"/>
  <c r="DO28" i="2" s="1"/>
  <c r="DO29" i="2" s="1"/>
  <c r="DO30" i="2" s="1"/>
  <c r="DO31" i="2" s="1"/>
  <c r="DO32" i="2" s="1"/>
  <c r="DO33" i="2" s="1"/>
  <c r="DO34" i="2" s="1"/>
  <c r="DO35" i="2" l="1"/>
  <c r="DV4" i="2"/>
  <c r="DV5" i="2" s="1"/>
  <c r="DV6" i="2" s="1"/>
  <c r="DV7" i="2" s="1"/>
  <c r="DV8" i="2" s="1"/>
  <c r="DV9" i="2" s="1"/>
  <c r="DV10" i="2" s="1"/>
  <c r="DV11" i="2" s="1"/>
  <c r="DV12" i="2" s="1"/>
  <c r="DV13" i="2" s="1"/>
  <c r="DV14" i="2" s="1"/>
  <c r="DV15" i="2" s="1"/>
  <c r="DV16" i="2" s="1"/>
  <c r="DV17" i="2" s="1"/>
  <c r="DV18" i="2" s="1"/>
  <c r="DV19" i="2" s="1"/>
  <c r="DV20" i="2" s="1"/>
  <c r="DV21" i="2" s="1"/>
  <c r="DV22" i="2" s="1"/>
  <c r="DV23" i="2" s="1"/>
  <c r="DV24" i="2" s="1"/>
  <c r="DV25" i="2" s="1"/>
  <c r="DV26" i="2" s="1"/>
  <c r="DV27" i="2" s="1"/>
  <c r="DV28" i="2" s="1"/>
  <c r="DV29" i="2" s="1"/>
  <c r="U76" i="2" l="1"/>
  <c r="U77" i="2" s="1"/>
  <c r="DV30" i="2"/>
  <c r="DV31" i="2" s="1"/>
  <c r="DV32" i="2" s="1"/>
  <c r="DV33" i="2" s="1"/>
  <c r="DV34" i="2" s="1"/>
  <c r="DV35" i="2" l="1"/>
  <c r="EC4" i="2"/>
  <c r="EC5" i="2" s="1"/>
  <c r="EC6" i="2" s="1"/>
  <c r="EC7" i="2" s="1"/>
  <c r="EC8" i="2" s="1"/>
  <c r="EC9" i="2" l="1"/>
  <c r="EC10" i="2" s="1"/>
  <c r="EC11" i="2" s="1"/>
  <c r="EC12" i="2" s="1"/>
  <c r="EC13" i="2" s="1"/>
  <c r="EC14" i="2" s="1"/>
  <c r="EC15" i="2" s="1"/>
  <c r="EC16" i="2" s="1"/>
  <c r="EC17" i="2" s="1"/>
  <c r="EC18" i="2" s="1"/>
  <c r="EC19" i="2" s="1"/>
  <c r="EC20" i="2" s="1"/>
  <c r="EC21" i="2" s="1"/>
  <c r="EC22" i="2" s="1"/>
  <c r="EC23" i="2" s="1"/>
  <c r="EC24" i="2" s="1"/>
  <c r="EC25" i="2" s="1"/>
  <c r="EC26" i="2" s="1"/>
  <c r="EC27" i="2" s="1"/>
  <c r="EC28" i="2" s="1"/>
  <c r="EC29" i="2" s="1"/>
  <c r="EC30" i="2" s="1"/>
  <c r="EC31" i="2" s="1"/>
  <c r="EC32" i="2" s="1"/>
  <c r="EC33" i="2" s="1"/>
  <c r="EC34" i="2" s="1"/>
  <c r="U68" i="2"/>
  <c r="U69" i="2" s="1"/>
  <c r="EC35" i="2" l="1"/>
  <c r="EJ4" i="2"/>
  <c r="EJ5" i="2" s="1"/>
  <c r="EJ6" i="2" s="1"/>
  <c r="EJ7" i="2" s="1"/>
  <c r="EJ8" i="2" s="1"/>
  <c r="EJ9" i="2" s="1"/>
  <c r="EJ10" i="2" s="1"/>
  <c r="EJ11" i="2" s="1"/>
  <c r="EJ12" i="2" s="1"/>
  <c r="EJ13" i="2" s="1"/>
  <c r="EJ14" i="2" s="1"/>
  <c r="EJ15" i="2" s="1"/>
  <c r="EJ16" i="2" s="1"/>
  <c r="EJ17" i="2" s="1"/>
  <c r="EJ18" i="2" s="1"/>
  <c r="EJ19" i="2" s="1"/>
  <c r="EJ20" i="2" s="1"/>
  <c r="EJ21" i="2" s="1"/>
  <c r="EJ22" i="2" s="1"/>
  <c r="EJ23" i="2" s="1"/>
  <c r="EJ24" i="2" s="1"/>
  <c r="EJ25" i="2" s="1"/>
  <c r="EJ26" i="2" s="1"/>
  <c r="EJ27" i="2" s="1"/>
  <c r="EJ28" i="2" s="1"/>
  <c r="EJ29" i="2" s="1"/>
  <c r="EJ30" i="2" s="1"/>
  <c r="EJ31" i="2" s="1"/>
  <c r="EJ32" i="2" s="1"/>
  <c r="EJ33" i="2" s="1"/>
  <c r="EJ34" i="2" s="1"/>
  <c r="EJ35" i="2" l="1"/>
  <c r="EQ4" i="2"/>
  <c r="EQ5" i="2" s="1"/>
  <c r="EQ6" i="2" s="1"/>
  <c r="EQ7" i="2" s="1"/>
  <c r="EQ8" i="2" s="1"/>
  <c r="EQ9" i="2" s="1"/>
  <c r="EQ10" i="2" s="1"/>
  <c r="EQ11" i="2" s="1"/>
  <c r="EQ12" i="2" s="1"/>
  <c r="EQ13" i="2" s="1"/>
  <c r="EQ14" i="2" s="1"/>
  <c r="EQ15" i="2" s="1"/>
  <c r="EQ16" i="2" s="1"/>
  <c r="EQ17" i="2" s="1"/>
  <c r="EQ18" i="2" s="1"/>
  <c r="EQ19" i="2" s="1"/>
  <c r="EQ20" i="2" s="1"/>
  <c r="EQ21" i="2" s="1"/>
  <c r="EQ22" i="2" s="1"/>
  <c r="EQ23" i="2" s="1"/>
  <c r="EQ24" i="2" s="1"/>
  <c r="EQ25" i="2" s="1"/>
  <c r="EQ26" i="2" s="1"/>
  <c r="EQ27" i="2" s="1"/>
  <c r="EQ28" i="2" s="1"/>
  <c r="EQ29" i="2" s="1"/>
  <c r="EQ30" i="2" s="1"/>
  <c r="EQ31" i="2" s="1"/>
  <c r="EQ32" i="2" s="1"/>
  <c r="EQ33" i="2" s="1"/>
  <c r="EQ34" i="2" s="1"/>
  <c r="EQ35" i="2" l="1"/>
  <c r="EX4" i="2"/>
  <c r="EX5" i="2" s="1"/>
  <c r="EX6" i="2" s="1"/>
  <c r="EX7" i="2" s="1"/>
  <c r="EX8" i="2" s="1"/>
  <c r="EX9" i="2" s="1"/>
  <c r="EX10" i="2" s="1"/>
  <c r="EX11" i="2" s="1"/>
  <c r="EX12" i="2" s="1"/>
  <c r="EX13" i="2" s="1"/>
  <c r="EX14" i="2" s="1"/>
  <c r="EX15" i="2" s="1"/>
  <c r="EX16" i="2" s="1"/>
  <c r="EX17" i="2" s="1"/>
  <c r="EX18" i="2" s="1"/>
  <c r="EX19" i="2" s="1"/>
  <c r="EX20" i="2" s="1"/>
  <c r="EX21" i="2" s="1"/>
  <c r="EX22" i="2" s="1"/>
  <c r="EX23" i="2" s="1"/>
  <c r="EX24" i="2" s="1"/>
  <c r="EX25" i="2" s="1"/>
  <c r="EX26" i="2" s="1"/>
  <c r="EX27" i="2" s="1"/>
  <c r="EX28" i="2" s="1"/>
  <c r="EX29" i="2" s="1"/>
  <c r="EX30" i="2" s="1"/>
  <c r="EX31" i="2" s="1"/>
  <c r="EX32" i="2" s="1"/>
  <c r="EX33" i="2" s="1"/>
  <c r="EX34" i="2" s="1"/>
  <c r="FE4" i="2" l="1"/>
  <c r="FE5" i="2" s="1"/>
  <c r="FE6" i="2" s="1"/>
  <c r="FE7" i="2" s="1"/>
  <c r="FE8" i="2" s="1"/>
  <c r="FE9" i="2" s="1"/>
  <c r="FE10" i="2" s="1"/>
  <c r="FE11" i="2" s="1"/>
  <c r="FE12" i="2" s="1"/>
  <c r="FE13" i="2" s="1"/>
  <c r="FE14" i="2" s="1"/>
  <c r="FE15" i="2" s="1"/>
  <c r="FE16" i="2" s="1"/>
  <c r="FE17" i="2" s="1"/>
  <c r="FE18" i="2" s="1"/>
  <c r="FE19" i="2" s="1"/>
  <c r="FE20" i="2" s="1"/>
  <c r="FE21" i="2" s="1"/>
  <c r="FE22" i="2" s="1"/>
  <c r="FE23" i="2" s="1"/>
  <c r="FE24" i="2" s="1"/>
  <c r="FE25" i="2" s="1"/>
  <c r="FE26" i="2" s="1"/>
  <c r="FE27" i="2" s="1"/>
  <c r="FE28" i="2" s="1"/>
  <c r="FE29" i="2" s="1"/>
  <c r="FE30" i="2" s="1"/>
  <c r="FE31" i="2" s="1"/>
  <c r="FE32" i="2" s="1"/>
  <c r="FE33" i="2" s="1"/>
  <c r="FE34" i="2" s="1"/>
  <c r="EX35" i="2"/>
  <c r="FE35" i="2" l="1"/>
  <c r="FL4" i="2"/>
  <c r="FL5" i="2" s="1"/>
  <c r="FL6" i="2" s="1"/>
  <c r="FL7" i="2" s="1"/>
  <c r="FL8" i="2" s="1"/>
  <c r="FL9" i="2" s="1"/>
  <c r="FL10" i="2" s="1"/>
  <c r="FL11" i="2" s="1"/>
  <c r="FL12" i="2" s="1"/>
  <c r="FL13" i="2" s="1"/>
  <c r="FL14" i="2" s="1"/>
  <c r="FL15" i="2" s="1"/>
  <c r="FL16" i="2" s="1"/>
  <c r="FL17" i="2" s="1"/>
  <c r="FL18" i="2" s="1"/>
  <c r="FL19" i="2" s="1"/>
  <c r="FL20" i="2" s="1"/>
  <c r="FL21" i="2" s="1"/>
  <c r="FL22" i="2" s="1"/>
  <c r="FL23" i="2" s="1"/>
  <c r="FL24" i="2" s="1"/>
  <c r="FL25" i="2" s="1"/>
  <c r="FL26" i="2" s="1"/>
  <c r="FL27" i="2" s="1"/>
  <c r="FL28" i="2" s="1"/>
  <c r="FL29" i="2" s="1"/>
  <c r="FL30" i="2" s="1"/>
  <c r="FL31" i="2" s="1"/>
  <c r="FL32" i="2" s="1"/>
  <c r="FL33" i="2" s="1"/>
  <c r="FL34" i="2" s="1"/>
  <c r="FL35" i="2" l="1"/>
  <c r="FS4" i="2"/>
  <c r="FS5" i="2" s="1"/>
  <c r="FS6" i="2" s="1"/>
  <c r="FS7" i="2" s="1"/>
  <c r="FS8" i="2" s="1"/>
  <c r="FS9" i="2" s="1"/>
  <c r="FS10" i="2" s="1"/>
  <c r="FS11" i="2" s="1"/>
  <c r="FS12" i="2" s="1"/>
  <c r="FS13" i="2" s="1"/>
  <c r="FS14" i="2" s="1"/>
  <c r="FS15" i="2" s="1"/>
  <c r="FS16" i="2" s="1"/>
  <c r="FS17" i="2" s="1"/>
  <c r="FS18" i="2" s="1"/>
  <c r="FS19" i="2" s="1"/>
  <c r="FS20" i="2" s="1"/>
  <c r="FS21" i="2" s="1"/>
  <c r="FS22" i="2" s="1"/>
  <c r="FS23" i="2" s="1"/>
  <c r="FS24" i="2" s="1"/>
  <c r="FS25" i="2" s="1"/>
  <c r="FS26" i="2" s="1"/>
  <c r="FS27" i="2" s="1"/>
  <c r="FS28" i="2" s="1"/>
  <c r="FS29" i="2" s="1"/>
  <c r="FS30" i="2" s="1"/>
  <c r="FS31" i="2" s="1"/>
  <c r="FS32" i="2" s="1"/>
  <c r="FS33" i="2" s="1"/>
  <c r="FS34" i="2" s="1"/>
  <c r="FS35" i="2" l="1"/>
  <c r="FZ4" i="2"/>
  <c r="FZ5" i="2" s="1"/>
  <c r="FZ6" i="2" s="1"/>
  <c r="FZ7" i="2" s="1"/>
  <c r="FZ8" i="2" s="1"/>
  <c r="FZ9" i="2" s="1"/>
  <c r="FZ10" i="2" s="1"/>
  <c r="FZ11" i="2" s="1"/>
  <c r="FZ12" i="2" s="1"/>
  <c r="FZ13" i="2" s="1"/>
  <c r="FZ14" i="2" s="1"/>
  <c r="FZ15" i="2" s="1"/>
  <c r="FZ16" i="2" s="1"/>
  <c r="FZ17" i="2" s="1"/>
  <c r="FZ18" i="2" s="1"/>
  <c r="FZ19" i="2" s="1"/>
  <c r="FZ20" i="2" s="1"/>
  <c r="FZ21" i="2" s="1"/>
  <c r="FZ22" i="2" s="1"/>
  <c r="FZ23" i="2" s="1"/>
  <c r="FZ24" i="2" s="1"/>
  <c r="FZ25" i="2" s="1"/>
  <c r="FZ26" i="2" s="1"/>
  <c r="FZ27" i="2" s="1"/>
  <c r="FZ28" i="2" s="1"/>
  <c r="FZ29" i="2" s="1"/>
  <c r="FZ30" i="2" s="1"/>
  <c r="FZ31" i="2" s="1"/>
  <c r="FZ32" i="2" s="1"/>
  <c r="FZ33" i="2" s="1"/>
  <c r="FZ34" i="2" s="1"/>
  <c r="FZ35" i="2" l="1"/>
  <c r="GG4" i="2"/>
  <c r="GG5" i="2" s="1"/>
  <c r="GG6" i="2" s="1"/>
  <c r="GG7" i="2" s="1"/>
  <c r="GG8" i="2" s="1"/>
  <c r="GG9" i="2" s="1"/>
  <c r="GG10" i="2" s="1"/>
  <c r="GG11" i="2" s="1"/>
  <c r="GG12" i="2" s="1"/>
  <c r="GG13" i="2" s="1"/>
  <c r="GG14" i="2" s="1"/>
  <c r="GG15" i="2" s="1"/>
  <c r="GG16" i="2" s="1"/>
  <c r="GG17" i="2" s="1"/>
  <c r="GG18" i="2" s="1"/>
  <c r="GG19" i="2" s="1"/>
  <c r="GG20" i="2" s="1"/>
  <c r="GG21" i="2" s="1"/>
  <c r="GG22" i="2" s="1"/>
  <c r="GG23" i="2" s="1"/>
  <c r="GG24" i="2" s="1"/>
  <c r="GG25" i="2" s="1"/>
  <c r="GG26" i="2" s="1"/>
  <c r="GG27" i="2" s="1"/>
  <c r="GG28" i="2" s="1"/>
  <c r="GG29" i="2" s="1"/>
  <c r="GG30" i="2" s="1"/>
  <c r="GG31" i="2" s="1"/>
  <c r="GG32" i="2" s="1"/>
  <c r="GG33" i="2" s="1"/>
  <c r="GG34" i="2" s="1"/>
  <c r="GG35" i="2" l="1"/>
  <c r="GN4" i="2"/>
  <c r="GN5" i="2" s="1"/>
  <c r="GN6" i="2" s="1"/>
  <c r="GN7" i="2" s="1"/>
  <c r="GN8" i="2" s="1"/>
  <c r="GN9" i="2" s="1"/>
  <c r="GN10" i="2" s="1"/>
  <c r="GN11" i="2" s="1"/>
  <c r="GN12" i="2" s="1"/>
  <c r="GN13" i="2" s="1"/>
  <c r="GN14" i="2" s="1"/>
  <c r="GN15" i="2" s="1"/>
  <c r="GN16" i="2" s="1"/>
  <c r="GN17" i="2" s="1"/>
  <c r="GN18" i="2" s="1"/>
  <c r="GN19" i="2" s="1"/>
  <c r="GN20" i="2" s="1"/>
  <c r="GN21" i="2" s="1"/>
  <c r="GN22" i="2" s="1"/>
  <c r="GN23" i="2" s="1"/>
  <c r="GN24" i="2" s="1"/>
  <c r="GN25" i="2" s="1"/>
  <c r="GN26" i="2" s="1"/>
  <c r="GN27" i="2" s="1"/>
  <c r="GN28" i="2" s="1"/>
  <c r="GN29" i="2" s="1"/>
  <c r="GN30" i="2" s="1"/>
  <c r="GN31" i="2" s="1"/>
  <c r="GN32" i="2" s="1"/>
  <c r="GN33" i="2" s="1"/>
  <c r="GN34" i="2" s="1"/>
  <c r="GU4" i="2" l="1"/>
  <c r="GU5" i="2" s="1"/>
  <c r="GU6" i="2" s="1"/>
  <c r="GU7" i="2" s="1"/>
  <c r="GU8" i="2" s="1"/>
  <c r="GU9" i="2" s="1"/>
  <c r="GU10" i="2" s="1"/>
  <c r="GU11" i="2" s="1"/>
  <c r="GU12" i="2" s="1"/>
  <c r="GU13" i="2" s="1"/>
  <c r="GU14" i="2" s="1"/>
  <c r="GU15" i="2" s="1"/>
  <c r="GU16" i="2" s="1"/>
  <c r="GU17" i="2" s="1"/>
  <c r="GU18" i="2" s="1"/>
  <c r="GU19" i="2" s="1"/>
  <c r="GU20" i="2" s="1"/>
  <c r="GU21" i="2" s="1"/>
  <c r="GU22" i="2" s="1"/>
  <c r="GU23" i="2" s="1"/>
  <c r="GU24" i="2" s="1"/>
  <c r="GU25" i="2" s="1"/>
  <c r="GU26" i="2" s="1"/>
  <c r="GU27" i="2" s="1"/>
  <c r="GU28" i="2" s="1"/>
  <c r="GU29" i="2" s="1"/>
  <c r="GU30" i="2" s="1"/>
  <c r="GU31" i="2" s="1"/>
  <c r="GU32" i="2" s="1"/>
  <c r="GU33" i="2" s="1"/>
  <c r="GU34" i="2" s="1"/>
  <c r="GN35" i="2"/>
  <c r="GU35" i="2" l="1"/>
  <c r="P42" i="2"/>
  <c r="W4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Administrator</author>
  </authors>
  <commentList>
    <comment ref="G35" authorId="0" shapeId="0" xr:uid="{5B6E3B53-5B7B-A94E-BC6C-6736A9DB65EB}">
      <text>
        <r>
          <rPr>
            <b/>
            <sz val="9"/>
            <color indexed="81"/>
            <rFont val="Tahoma"/>
            <family val="2"/>
          </rPr>
          <t>เฉพาะวันที่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5" authorId="0" shapeId="0" xr:uid="{25850C3E-4FA8-1549-A28A-E94279625D71}">
      <text>
        <r>
          <rPr>
            <b/>
            <sz val="9"/>
            <color indexed="81"/>
            <rFont val="Tahoma"/>
            <family val="2"/>
          </rPr>
          <t>เฉพาะวันที่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46" authorId="0" shapeId="0" xr:uid="{21E88A6B-B2CF-2A4F-8A3A-A86D017E1476}">
      <text>
        <r>
          <rPr>
            <sz val="9"/>
            <color indexed="81"/>
            <rFont val="Tahoma"/>
            <family val="2"/>
          </rPr>
          <t xml:space="preserve">
เป็นวันที่ปัจจุบันอยู่ ถ้าขึ้นปลาเมื่อไหร่ ก็ใส่วันที่ลงในช่องเลย ก็จะคำนวณจำนวนวันที่เลี้ยงออกมา
</t>
        </r>
      </text>
    </comment>
    <comment ref="C49" authorId="0" shapeId="0" xr:uid="{4AEFD04E-25B6-D545-9B88-FD31D80D033E}">
      <text>
        <r>
          <rPr>
            <sz val="9"/>
            <color indexed="81"/>
            <rFont val="Tahoma"/>
            <family val="2"/>
          </rPr>
          <t xml:space="preserve">
สามารถเปลี่ยนแปลงได้ ใส่อัตราแลกเนื้อตามช่องเข้าไป
</t>
        </r>
      </text>
    </comment>
    <comment ref="F89" authorId="1" shapeId="0" xr:uid="{2D32AB8B-0589-824C-8895-8CAF3B2AD8FB}">
      <text>
        <r>
          <rPr>
            <sz val="8"/>
            <color indexed="81"/>
            <rFont val="Tahoma"/>
            <family val="2"/>
          </rPr>
          <t>**ราคาเหยื่อ 14 บาท</t>
        </r>
      </text>
    </comment>
    <comment ref="F90" authorId="1" shapeId="0" xr:uid="{5CDABE18-AEB1-8A4E-97BF-07D826F23968}">
      <text>
        <r>
          <rPr>
            <b/>
            <sz val="8"/>
            <color indexed="81"/>
            <rFont val="Tahoma"/>
            <family val="2"/>
          </rPr>
          <t>**ราคาอาหาร 45 บาท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<sst xmlns="http://schemas.openxmlformats.org/spreadsheetml/2006/main" count="328" uniqueCount="58">
  <si>
    <t>วันที่</t>
  </si>
  <si>
    <t>เหยื่อ</t>
  </si>
  <si>
    <t>อาหาร</t>
  </si>
  <si>
    <t>ตาย</t>
  </si>
  <si>
    <t>นน.ตัว</t>
  </si>
  <si>
    <t>จำนวนปลา</t>
  </si>
  <si>
    <t>เช้า</t>
  </si>
  <si>
    <t>เย็น</t>
  </si>
  <si>
    <t>รวม</t>
  </si>
  <si>
    <t>บ้าน</t>
  </si>
  <si>
    <t>บ่อ</t>
  </si>
  <si>
    <t>หัวข้อ</t>
  </si>
  <si>
    <t>จำนวนกิน</t>
  </si>
  <si>
    <t>ยอดเดิม</t>
  </si>
  <si>
    <t>ยอดรวม</t>
  </si>
  <si>
    <t>น้ำหนักปัจจุบัน</t>
  </si>
  <si>
    <t>จำนวนตัวปัจจุบัน</t>
  </si>
  <si>
    <t>น้ำหนักรวม</t>
  </si>
  <si>
    <t>วันที่เริ่มลงปลา</t>
  </si>
  <si>
    <t>วันที่ขึ้นปลา</t>
  </si>
  <si>
    <t>ระยะเวลา(เดือน)</t>
  </si>
  <si>
    <t>จำนวนวันที่เลี้ยง</t>
  </si>
  <si>
    <t>สถานะ</t>
  </si>
  <si>
    <t>ขึ้นปลาแล้ว</t>
  </si>
  <si>
    <t>ย้าย</t>
  </si>
  <si>
    <t>เลี้ยงอยู่</t>
  </si>
  <si>
    <t>อัตราแลกเนื้อ</t>
  </si>
  <si>
    <t>บ้าน บ่อ</t>
  </si>
  <si>
    <t>ไซต์</t>
  </si>
  <si>
    <t>น้ำหนัก</t>
  </si>
  <si>
    <t>ราคา/กก.</t>
  </si>
  <si>
    <t>ราคารวม(บาท)</t>
  </si>
  <si>
    <t>นน.เฉลี่ยที่ได้</t>
  </si>
  <si>
    <t>นน.ที่กินเหยื่อ</t>
  </si>
  <si>
    <t>Diff</t>
  </si>
  <si>
    <t>รวมทั้งหมด</t>
  </si>
  <si>
    <t>ราคาเฉลี่ย</t>
  </si>
  <si>
    <t>จำนวนปลาตาย</t>
  </si>
  <si>
    <t>%ปลาตาย</t>
  </si>
  <si>
    <t>ต้นทุนเฉลี่ย</t>
  </si>
  <si>
    <t>ระยะเวลาเลี้ยง</t>
  </si>
  <si>
    <t>ค่ากินเหยื่อ</t>
  </si>
  <si>
    <t>% ต้นทุนกินเหยื่อ</t>
  </si>
  <si>
    <t>ต้นทุนเหยื่อ</t>
  </si>
  <si>
    <t>ต้นทุนอาหาร</t>
  </si>
  <si>
    <t>รวมกินเหยื่อ</t>
  </si>
  <si>
    <t>ค่าดำเนินการ</t>
  </si>
  <si>
    <t>% ต้นทุนดำเนินการ</t>
  </si>
  <si>
    <t>ค่าลงปลา</t>
  </si>
  <si>
    <t>ค่าคนงาน</t>
  </si>
  <si>
    <t>ค่าไฟ</t>
  </si>
  <si>
    <t>เบ็ดเตล็ด</t>
  </si>
  <si>
    <t>ดันที่</t>
  </si>
  <si>
    <t>รวมค่าดำเนินการ</t>
  </si>
  <si>
    <t>รวมต้นทุน</t>
  </si>
  <si>
    <t>กำไรสุทธิ</t>
  </si>
  <si>
    <t>Note:</t>
  </si>
  <si>
    <t>Feed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</si>
</sst>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107041E]d\ mmm\ yy;@"/>
    <numFmt numFmtId="165" formatCode="_-* #,##0.00_-;\-* #,##0.00_-;_-* &quot;-&quot;??_-;_-@_-"/>
    <numFmt numFmtId="166" formatCode="_-* #,##0_-;\-* #,##0_-;_-* &quot;-&quot;??_-;_-@_-"/>
    <numFmt numFmtId="167" formatCode="[$-1070000]d/m/yy;@"/>
    <numFmt numFmtId="168" formatCode="#\ ?/12"/>
    <numFmt numFmtId="169" formatCode="_-* #,##0.0_-;\-* #,##0.0_-;_-* &quot;-&quot;??_-;_-@_-"/>
    <numFmt numFmtId="170" formatCode="0.000"/>
  </numFmts>
  <fonts count="17" x14ac:knownFonts="1">
    <font>
      <sz val="12"/>
      <color theme="1"/>
      <name val="Aptos Narrow"/>
      <family val="2"/>
      <scheme val="minor"/>
    </font>
    <font>
      <sz val="10"/>
      <color theme="1"/>
      <name val="Tahoma"/>
      <family val="2"/>
      <charset val="22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color rgb="FFFF0000"/>
      <name val="Tahoma"/>
      <family val="2"/>
    </font>
    <font>
      <b/>
      <sz val="11"/>
      <color theme="1"/>
      <name val="Tahoma"/>
      <family val="2"/>
    </font>
    <font>
      <sz val="11"/>
      <color theme="1"/>
      <name val="Tahoma"/>
      <family val="2"/>
      <charset val="222"/>
    </font>
    <font>
      <b/>
      <sz val="10"/>
      <name val="Tahoma"/>
      <family val="2"/>
    </font>
    <font>
      <sz val="10"/>
      <color theme="0"/>
      <name val="Tahoma"/>
      <family val="2"/>
    </font>
    <font>
      <sz val="10"/>
      <color theme="1"/>
      <name val="Aptos Narrow"/>
      <family val="2"/>
      <charset val="222"/>
      <scheme val="minor"/>
    </font>
    <font>
      <b/>
      <sz val="10"/>
      <color rgb="FF00B050"/>
      <name val="Tahoma"/>
      <family val="2"/>
    </font>
    <font>
      <b/>
      <sz val="16"/>
      <color theme="1"/>
      <name val="Tahoma"/>
      <family val="2"/>
    </font>
    <font>
      <sz val="16"/>
      <color theme="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49FDE"/>
        <bgColor indexed="64"/>
      </patternFill>
    </fill>
    <fill>
      <patternFill patternType="solid">
        <fgColor rgb="FFB5E7A2"/>
        <bgColor indexed="64"/>
      </patternFill>
    </fill>
    <fill>
      <patternFill patternType="solid">
        <fgColor rgb="FFD96DCD"/>
        <bgColor indexed="64"/>
      </patternFill>
    </fill>
  </fills>
  <borders count="4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</cellStyleXfs>
  <cellXfs count="217">
    <xf numFmtId="0" fontId="0" fillId="0" borderId="0" xfId="0"/>
    <xf numFmtId="0" fontId="2" fillId="4" borderId="0" xfId="1" applyFont="1" applyFill="1"/>
    <xf numFmtId="164" fontId="2" fillId="2" borderId="1" xfId="1" applyNumberFormat="1" applyFont="1" applyFill="1" applyBorder="1" applyAlignment="1">
      <alignment horizontal="center" vertical="center" wrapText="1"/>
    </xf>
    <xf numFmtId="0" fontId="2" fillId="5" borderId="10" xfId="1" applyFont="1" applyFill="1" applyBorder="1" applyAlignment="1">
      <alignment horizontal="center" vertical="center"/>
    </xf>
    <xf numFmtId="0" fontId="2" fillId="5" borderId="11" xfId="1" applyFont="1" applyFill="1" applyBorder="1" applyAlignment="1">
      <alignment horizontal="center" vertical="center"/>
    </xf>
    <xf numFmtId="0" fontId="2" fillId="6" borderId="11" xfId="1" applyFont="1" applyFill="1" applyBorder="1" applyAlignment="1">
      <alignment horizontal="center" vertical="center"/>
    </xf>
    <xf numFmtId="0" fontId="2" fillId="0" borderId="0" xfId="1" applyFont="1"/>
    <xf numFmtId="0" fontId="2" fillId="4" borderId="15" xfId="1" applyFont="1" applyFill="1" applyBorder="1" applyAlignment="1">
      <alignment horizontal="center"/>
    </xf>
    <xf numFmtId="0" fontId="3" fillId="5" borderId="16" xfId="1" applyFont="1" applyFill="1" applyBorder="1" applyAlignment="1">
      <alignment horizontal="center"/>
    </xf>
    <xf numFmtId="0" fontId="3" fillId="6" borderId="16" xfId="1" applyFont="1" applyFill="1" applyBorder="1" applyAlignment="1">
      <alignment horizontal="center"/>
    </xf>
    <xf numFmtId="0" fontId="3" fillId="7" borderId="16" xfId="1" applyFont="1" applyFill="1" applyBorder="1" applyAlignment="1">
      <alignment horizontal="center"/>
    </xf>
    <xf numFmtId="0" fontId="3" fillId="8" borderId="16" xfId="1" applyFont="1" applyFill="1" applyBorder="1" applyAlignment="1">
      <alignment horizontal="center"/>
    </xf>
    <xf numFmtId="0" fontId="3" fillId="9" borderId="17" xfId="1" applyFont="1" applyFill="1" applyBorder="1" applyAlignment="1">
      <alignment horizontal="center"/>
    </xf>
    <xf numFmtId="0" fontId="3" fillId="5" borderId="18" xfId="1" applyFont="1" applyFill="1" applyBorder="1" applyAlignment="1">
      <alignment horizontal="center"/>
    </xf>
    <xf numFmtId="0" fontId="3" fillId="0" borderId="15" xfId="1" applyFont="1" applyBorder="1"/>
    <xf numFmtId="0" fontId="2" fillId="4" borderId="19" xfId="1" applyFont="1" applyFill="1" applyBorder="1" applyAlignment="1">
      <alignment horizontal="center"/>
    </xf>
    <xf numFmtId="0" fontId="3" fillId="5" borderId="20" xfId="1" applyFont="1" applyFill="1" applyBorder="1" applyAlignment="1">
      <alignment horizontal="center"/>
    </xf>
    <xf numFmtId="0" fontId="3" fillId="6" borderId="20" xfId="1" applyFont="1" applyFill="1" applyBorder="1" applyAlignment="1">
      <alignment horizontal="center"/>
    </xf>
    <xf numFmtId="0" fontId="3" fillId="7" borderId="20" xfId="1" applyFont="1" applyFill="1" applyBorder="1" applyAlignment="1">
      <alignment horizontal="center"/>
    </xf>
    <xf numFmtId="0" fontId="3" fillId="0" borderId="19" xfId="1" applyFont="1" applyBorder="1"/>
    <xf numFmtId="0" fontId="3" fillId="5" borderId="21" xfId="1" applyFont="1" applyFill="1" applyBorder="1" applyAlignment="1">
      <alignment horizontal="center"/>
    </xf>
    <xf numFmtId="0" fontId="2" fillId="4" borderId="22" xfId="1" applyFont="1" applyFill="1" applyBorder="1" applyAlignment="1">
      <alignment horizontal="center"/>
    </xf>
    <xf numFmtId="0" fontId="3" fillId="5" borderId="23" xfId="1" applyFont="1" applyFill="1" applyBorder="1" applyAlignment="1">
      <alignment horizontal="center"/>
    </xf>
    <xf numFmtId="0" fontId="3" fillId="5" borderId="24" xfId="1" applyFont="1" applyFill="1" applyBorder="1" applyAlignment="1">
      <alignment horizontal="center"/>
    </xf>
    <xf numFmtId="0" fontId="3" fillId="6" borderId="24" xfId="1" applyFont="1" applyFill="1" applyBorder="1" applyAlignment="1">
      <alignment horizontal="center"/>
    </xf>
    <xf numFmtId="0" fontId="3" fillId="7" borderId="24" xfId="1" applyFont="1" applyFill="1" applyBorder="1" applyAlignment="1">
      <alignment horizontal="center"/>
    </xf>
    <xf numFmtId="0" fontId="3" fillId="8" borderId="24" xfId="1" applyFont="1" applyFill="1" applyBorder="1" applyAlignment="1">
      <alignment horizontal="center"/>
    </xf>
    <xf numFmtId="0" fontId="3" fillId="9" borderId="25" xfId="1" applyFont="1" applyFill="1" applyBorder="1" applyAlignment="1">
      <alignment horizontal="center"/>
    </xf>
    <xf numFmtId="0" fontId="3" fillId="0" borderId="22" xfId="1" applyFont="1" applyBorder="1"/>
    <xf numFmtId="0" fontId="2" fillId="3" borderId="26" xfId="1" applyFont="1" applyFill="1" applyBorder="1" applyAlignment="1">
      <alignment horizontal="center"/>
    </xf>
    <xf numFmtId="0" fontId="2" fillId="5" borderId="23" xfId="1" applyFont="1" applyFill="1" applyBorder="1" applyAlignment="1">
      <alignment horizontal="center"/>
    </xf>
    <xf numFmtId="0" fontId="2" fillId="5" borderId="24" xfId="1" applyFont="1" applyFill="1" applyBorder="1" applyAlignment="1">
      <alignment horizontal="center"/>
    </xf>
    <xf numFmtId="0" fontId="2" fillId="6" borderId="24" xfId="1" applyFont="1" applyFill="1" applyBorder="1" applyAlignment="1">
      <alignment horizontal="center"/>
    </xf>
    <xf numFmtId="0" fontId="2" fillId="6" borderId="27" xfId="1" applyFont="1" applyFill="1" applyBorder="1" applyAlignment="1">
      <alignment horizontal="center"/>
    </xf>
    <xf numFmtId="0" fontId="2" fillId="7" borderId="28" xfId="1" applyFont="1" applyFill="1" applyBorder="1" applyAlignment="1">
      <alignment horizontal="center"/>
    </xf>
    <xf numFmtId="0" fontId="2" fillId="0" borderId="29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2" fillId="3" borderId="26" xfId="1" applyFont="1" applyFill="1" applyBorder="1"/>
    <xf numFmtId="0" fontId="2" fillId="7" borderId="33" xfId="1" applyFont="1" applyFill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/>
    <xf numFmtId="0" fontId="5" fillId="0" borderId="0" xfId="1" applyFont="1" applyAlignment="1">
      <alignment horizontal="center"/>
    </xf>
    <xf numFmtId="0" fontId="6" fillId="0" borderId="0" xfId="1" applyFont="1"/>
    <xf numFmtId="0" fontId="5" fillId="8" borderId="28" xfId="1" applyFont="1" applyFill="1" applyBorder="1" applyAlignment="1">
      <alignment horizontal="center"/>
    </xf>
    <xf numFmtId="0" fontId="8" fillId="0" borderId="0" xfId="1" applyFont="1"/>
    <xf numFmtId="165" fontId="3" fillId="0" borderId="0" xfId="2" applyFont="1" applyAlignment="1"/>
    <xf numFmtId="169" fontId="9" fillId="0" borderId="0" xfId="4" applyNumberFormat="1" applyFont="1"/>
    <xf numFmtId="169" fontId="9" fillId="0" borderId="0" xfId="5" applyNumberFormat="1" applyFont="1"/>
    <xf numFmtId="169" fontId="9" fillId="0" borderId="0" xfId="6" applyNumberFormat="1" applyFont="1"/>
    <xf numFmtId="0" fontId="9" fillId="0" borderId="0" xfId="7"/>
    <xf numFmtId="0" fontId="3" fillId="0" borderId="7" xfId="1" applyFont="1" applyBorder="1" applyAlignment="1">
      <alignment horizontal="center"/>
    </xf>
    <xf numFmtId="0" fontId="11" fillId="0" borderId="0" xfId="1" applyFont="1" applyAlignment="1">
      <alignment horizontal="center"/>
    </xf>
    <xf numFmtId="0" fontId="12" fillId="0" borderId="0" xfId="1" applyFont="1" applyAlignment="1">
      <alignment horizontal="center"/>
    </xf>
    <xf numFmtId="0" fontId="12" fillId="0" borderId="0" xfId="1" applyFont="1"/>
    <xf numFmtId="0" fontId="2" fillId="2" borderId="1" xfId="1" applyFont="1" applyFill="1" applyBorder="1" applyAlignment="1">
      <alignment horizontal="center" vertical="center"/>
    </xf>
    <xf numFmtId="17" fontId="2" fillId="3" borderId="2" xfId="1" applyNumberFormat="1" applyFont="1" applyFill="1" applyBorder="1" applyAlignment="1">
      <alignment horizontal="center"/>
    </xf>
    <xf numFmtId="17" fontId="2" fillId="3" borderId="3" xfId="1" applyNumberFormat="1" applyFont="1" applyFill="1" applyBorder="1" applyAlignment="1">
      <alignment horizontal="center"/>
    </xf>
    <xf numFmtId="17" fontId="2" fillId="3" borderId="4" xfId="1" applyNumberFormat="1" applyFont="1" applyFill="1" applyBorder="1" applyAlignment="1">
      <alignment horizontal="center"/>
    </xf>
    <xf numFmtId="0" fontId="2" fillId="5" borderId="5" xfId="1" applyFont="1" applyFill="1" applyBorder="1" applyAlignment="1">
      <alignment horizontal="center" vertical="center"/>
    </xf>
    <xf numFmtId="0" fontId="2" fillId="5" borderId="6" xfId="1" applyFont="1" applyFill="1" applyBorder="1" applyAlignment="1">
      <alignment horizontal="center" vertical="center"/>
    </xf>
    <xf numFmtId="0" fontId="2" fillId="6" borderId="7" xfId="1" applyFont="1" applyFill="1" applyBorder="1" applyAlignment="1">
      <alignment horizontal="center" vertical="center"/>
    </xf>
    <xf numFmtId="0" fontId="2" fillId="6" borderId="6" xfId="1" applyFont="1" applyFill="1" applyBorder="1" applyAlignment="1">
      <alignment horizontal="center" vertical="center"/>
    </xf>
    <xf numFmtId="0" fontId="2" fillId="7" borderId="8" xfId="1" applyFont="1" applyFill="1" applyBorder="1" applyAlignment="1">
      <alignment horizontal="center" vertical="center"/>
    </xf>
    <xf numFmtId="0" fontId="2" fillId="7" borderId="12" xfId="1" applyFont="1" applyFill="1" applyBorder="1" applyAlignment="1">
      <alignment horizontal="center" vertical="center"/>
    </xf>
    <xf numFmtId="0" fontId="2" fillId="8" borderId="8" xfId="1" applyFont="1" applyFill="1" applyBorder="1" applyAlignment="1">
      <alignment horizontal="center" vertical="center"/>
    </xf>
    <xf numFmtId="0" fontId="2" fillId="8" borderId="13" xfId="1" applyFont="1" applyFill="1" applyBorder="1" applyAlignment="1">
      <alignment horizontal="center" vertical="center"/>
    </xf>
    <xf numFmtId="0" fontId="2" fillId="9" borderId="9" xfId="1" applyFont="1" applyFill="1" applyBorder="1" applyAlignment="1">
      <alignment horizontal="center" vertical="center" wrapText="1"/>
    </xf>
    <xf numFmtId="0" fontId="2" fillId="9" borderId="14" xfId="1" applyFont="1" applyFill="1" applyBorder="1" applyAlignment="1">
      <alignment horizontal="center" vertical="center" wrapText="1"/>
    </xf>
    <xf numFmtId="0" fontId="2" fillId="5" borderId="30" xfId="1" applyFont="1" applyFill="1" applyBorder="1" applyAlignment="1">
      <alignment horizontal="center"/>
    </xf>
    <xf numFmtId="0" fontId="2" fillId="5" borderId="31" xfId="1" applyFont="1" applyFill="1" applyBorder="1" applyAlignment="1">
      <alignment horizontal="center"/>
    </xf>
    <xf numFmtId="0" fontId="2" fillId="6" borderId="32" xfId="1" applyFont="1" applyFill="1" applyBorder="1" applyAlignment="1">
      <alignment horizontal="center"/>
    </xf>
    <xf numFmtId="0" fontId="2" fillId="6" borderId="26" xfId="1" applyFont="1" applyFill="1" applyBorder="1" applyAlignment="1">
      <alignment horizontal="center"/>
    </xf>
    <xf numFmtId="0" fontId="2" fillId="0" borderId="34" xfId="1" applyFont="1" applyBorder="1" applyAlignment="1">
      <alignment horizontal="center"/>
    </xf>
    <xf numFmtId="0" fontId="2" fillId="0" borderId="35" xfId="1" applyFont="1" applyBorder="1" applyAlignment="1">
      <alignment horizontal="center"/>
    </xf>
    <xf numFmtId="0" fontId="5" fillId="8" borderId="30" xfId="1" applyFont="1" applyFill="1" applyBorder="1" applyAlignment="1">
      <alignment horizontal="center"/>
    </xf>
    <xf numFmtId="0" fontId="5" fillId="8" borderId="26" xfId="1" applyFont="1" applyFill="1" applyBorder="1" applyAlignment="1">
      <alignment horizontal="center"/>
    </xf>
    <xf numFmtId="0" fontId="5" fillId="8" borderId="29" xfId="1" applyFont="1" applyFill="1" applyBorder="1" applyAlignment="1">
      <alignment horizontal="center"/>
    </xf>
    <xf numFmtId="0" fontId="5" fillId="8" borderId="30" xfId="1" applyFont="1" applyFill="1" applyBorder="1" applyAlignment="1">
      <alignment horizontal="left"/>
    </xf>
    <xf numFmtId="0" fontId="5" fillId="8" borderId="26" xfId="1" applyFont="1" applyFill="1" applyBorder="1" applyAlignment="1">
      <alignment horizontal="left"/>
    </xf>
    <xf numFmtId="0" fontId="5" fillId="8" borderId="29" xfId="1" applyFont="1" applyFill="1" applyBorder="1" applyAlignment="1">
      <alignment horizontal="left"/>
    </xf>
    <xf numFmtId="0" fontId="7" fillId="11" borderId="7" xfId="1" applyFont="1" applyFill="1" applyBorder="1" applyAlignment="1">
      <alignment horizontal="center" vertical="center"/>
    </xf>
    <xf numFmtId="0" fontId="7" fillId="11" borderId="36" xfId="1" applyFont="1" applyFill="1" applyBorder="1" applyAlignment="1">
      <alignment horizontal="center" vertical="center"/>
    </xf>
    <xf numFmtId="0" fontId="7" fillId="11" borderId="6" xfId="1" applyFont="1" applyFill="1" applyBorder="1" applyAlignment="1">
      <alignment horizontal="center" vertical="center"/>
    </xf>
    <xf numFmtId="0" fontId="2" fillId="5" borderId="7" xfId="1" applyFont="1" applyFill="1" applyBorder="1" applyAlignment="1">
      <alignment horizontal="center"/>
    </xf>
    <xf numFmtId="0" fontId="2" fillId="5" borderId="6" xfId="1" applyFont="1" applyFill="1" applyBorder="1" applyAlignment="1">
      <alignment horizontal="center"/>
    </xf>
    <xf numFmtId="166" fontId="2" fillId="5" borderId="11" xfId="2" applyNumberFormat="1" applyFont="1" applyFill="1" applyBorder="1" applyAlignment="1">
      <alignment horizontal="center"/>
    </xf>
    <xf numFmtId="0" fontId="3" fillId="12" borderId="11" xfId="1" applyFont="1" applyFill="1" applyBorder="1" applyAlignment="1">
      <alignment horizontal="center"/>
    </xf>
    <xf numFmtId="0" fontId="3" fillId="12" borderId="7" xfId="1" applyFont="1" applyFill="1" applyBorder="1" applyAlignment="1">
      <alignment horizontal="center"/>
    </xf>
    <xf numFmtId="0" fontId="3" fillId="12" borderId="36" xfId="1" applyFont="1" applyFill="1" applyBorder="1" applyAlignment="1">
      <alignment horizontal="center"/>
    </xf>
    <xf numFmtId="0" fontId="3" fillId="12" borderId="6" xfId="1" applyFont="1" applyFill="1" applyBorder="1" applyAlignment="1">
      <alignment horizontal="center"/>
    </xf>
    <xf numFmtId="166" fontId="3" fillId="12" borderId="7" xfId="2" applyNumberFormat="1" applyFont="1" applyFill="1" applyBorder="1" applyAlignment="1">
      <alignment horizontal="center"/>
    </xf>
    <xf numFmtId="166" fontId="3" fillId="12" borderId="36" xfId="2" applyNumberFormat="1" applyFont="1" applyFill="1" applyBorder="1" applyAlignment="1">
      <alignment horizontal="center"/>
    </xf>
    <xf numFmtId="166" fontId="3" fillId="12" borderId="6" xfId="2" applyNumberFormat="1" applyFont="1" applyFill="1" applyBorder="1" applyAlignment="1">
      <alignment horizontal="center"/>
    </xf>
    <xf numFmtId="0" fontId="2" fillId="10" borderId="7" xfId="1" applyFont="1" applyFill="1" applyBorder="1" applyAlignment="1">
      <alignment horizontal="center"/>
    </xf>
    <xf numFmtId="0" fontId="2" fillId="10" borderId="6" xfId="1" applyFont="1" applyFill="1" applyBorder="1" applyAlignment="1">
      <alignment horizontal="center"/>
    </xf>
    <xf numFmtId="0" fontId="2" fillId="10" borderId="11" xfId="1" applyFont="1" applyFill="1" applyBorder="1" applyAlignment="1">
      <alignment horizontal="center"/>
    </xf>
    <xf numFmtId="0" fontId="7" fillId="11" borderId="11" xfId="1" applyFont="1" applyFill="1" applyBorder="1" applyAlignment="1">
      <alignment horizontal="center" vertical="center"/>
    </xf>
    <xf numFmtId="0" fontId="2" fillId="13" borderId="11" xfId="1" applyFont="1" applyFill="1" applyBorder="1" applyAlignment="1">
      <alignment horizontal="center"/>
    </xf>
    <xf numFmtId="0" fontId="2" fillId="13" borderId="7" xfId="1" applyFont="1" applyFill="1" applyBorder="1" applyAlignment="1">
      <alignment horizontal="center"/>
    </xf>
    <xf numFmtId="0" fontId="2" fillId="13" borderId="36" xfId="1" applyFont="1" applyFill="1" applyBorder="1" applyAlignment="1">
      <alignment horizontal="center"/>
    </xf>
    <xf numFmtId="0" fontId="2" fillId="13" borderId="6" xfId="1" applyFont="1" applyFill="1" applyBorder="1" applyAlignment="1">
      <alignment horizontal="center"/>
    </xf>
    <xf numFmtId="167" fontId="3" fillId="14" borderId="11" xfId="1" applyNumberFormat="1" applyFont="1" applyFill="1" applyBorder="1" applyAlignment="1">
      <alignment horizontal="center" vertical="center"/>
    </xf>
    <xf numFmtId="167" fontId="3" fillId="14" borderId="7" xfId="1" applyNumberFormat="1" applyFont="1" applyFill="1" applyBorder="1" applyAlignment="1">
      <alignment horizontal="center" vertical="center"/>
    </xf>
    <xf numFmtId="167" fontId="3" fillId="14" borderId="36" xfId="1" applyNumberFormat="1" applyFont="1" applyFill="1" applyBorder="1" applyAlignment="1">
      <alignment horizontal="center" vertical="center"/>
    </xf>
    <xf numFmtId="167" fontId="3" fillId="14" borderId="6" xfId="1" applyNumberFormat="1" applyFont="1" applyFill="1" applyBorder="1" applyAlignment="1">
      <alignment horizontal="center" vertical="center"/>
    </xf>
    <xf numFmtId="168" fontId="3" fillId="14" borderId="7" xfId="1" applyNumberFormat="1" applyFont="1" applyFill="1" applyBorder="1" applyAlignment="1">
      <alignment horizontal="center" vertical="center"/>
    </xf>
    <xf numFmtId="168" fontId="3" fillId="14" borderId="36" xfId="1" applyNumberFormat="1" applyFont="1" applyFill="1" applyBorder="1" applyAlignment="1">
      <alignment horizontal="center" vertical="center"/>
    </xf>
    <xf numFmtId="168" fontId="3" fillId="14" borderId="6" xfId="1" applyNumberFormat="1" applyFont="1" applyFill="1" applyBorder="1" applyAlignment="1">
      <alignment horizontal="center" vertical="center"/>
    </xf>
    <xf numFmtId="0" fontId="2" fillId="6" borderId="7" xfId="1" applyFont="1" applyFill="1" applyBorder="1" applyAlignment="1">
      <alignment horizontal="center"/>
    </xf>
    <xf numFmtId="0" fontId="2" fillId="6" borderId="6" xfId="1" applyFont="1" applyFill="1" applyBorder="1" applyAlignment="1">
      <alignment horizontal="center"/>
    </xf>
    <xf numFmtId="166" fontId="2" fillId="6" borderId="11" xfId="2" applyNumberFormat="1" applyFont="1" applyFill="1" applyBorder="1" applyAlignment="1">
      <alignment horizontal="center"/>
    </xf>
    <xf numFmtId="0" fontId="2" fillId="7" borderId="7" xfId="1" applyFont="1" applyFill="1" applyBorder="1" applyAlignment="1">
      <alignment horizontal="center"/>
    </xf>
    <xf numFmtId="0" fontId="2" fillId="7" borderId="6" xfId="1" applyFont="1" applyFill="1" applyBorder="1" applyAlignment="1">
      <alignment horizontal="center"/>
    </xf>
    <xf numFmtId="166" fontId="2" fillId="7" borderId="11" xfId="2" applyNumberFormat="1" applyFont="1" applyFill="1" applyBorder="1" applyAlignment="1">
      <alignment horizontal="center"/>
    </xf>
    <xf numFmtId="0" fontId="2" fillId="14" borderId="7" xfId="1" applyFont="1" applyFill="1" applyBorder="1" applyAlignment="1">
      <alignment horizontal="center"/>
    </xf>
    <xf numFmtId="0" fontId="2" fillId="14" borderId="6" xfId="1" applyFont="1" applyFill="1" applyBorder="1" applyAlignment="1">
      <alignment horizontal="center"/>
    </xf>
    <xf numFmtId="0" fontId="3" fillId="14" borderId="7" xfId="1" applyFont="1" applyFill="1" applyBorder="1" applyAlignment="1">
      <alignment horizontal="center"/>
    </xf>
    <xf numFmtId="0" fontId="3" fillId="14" borderId="6" xfId="1" applyFont="1" applyFill="1" applyBorder="1" applyAlignment="1">
      <alignment horizontal="center"/>
    </xf>
    <xf numFmtId="0" fontId="2" fillId="13" borderId="7" xfId="1" applyFont="1" applyFill="1" applyBorder="1" applyAlignment="1">
      <alignment horizontal="right" vertical="center"/>
    </xf>
    <xf numFmtId="0" fontId="2" fillId="13" borderId="36" xfId="1" applyFont="1" applyFill="1" applyBorder="1" applyAlignment="1">
      <alignment horizontal="right" vertical="center"/>
    </xf>
    <xf numFmtId="0" fontId="2" fillId="13" borderId="6" xfId="1" applyFont="1" applyFill="1" applyBorder="1" applyAlignment="1">
      <alignment horizontal="right" vertical="center"/>
    </xf>
    <xf numFmtId="166" fontId="2" fillId="6" borderId="7" xfId="2" applyNumberFormat="1" applyFont="1" applyFill="1" applyBorder="1" applyAlignment="1">
      <alignment horizontal="center"/>
    </xf>
    <xf numFmtId="166" fontId="2" fillId="6" borderId="36" xfId="2" applyNumberFormat="1" applyFont="1" applyFill="1" applyBorder="1" applyAlignment="1">
      <alignment horizontal="center"/>
    </xf>
    <xf numFmtId="166" fontId="2" fillId="6" borderId="6" xfId="2" applyNumberFormat="1" applyFont="1" applyFill="1" applyBorder="1" applyAlignment="1">
      <alignment horizontal="center"/>
    </xf>
    <xf numFmtId="0" fontId="3" fillId="14" borderId="36" xfId="1" applyFont="1" applyFill="1" applyBorder="1" applyAlignment="1">
      <alignment horizontal="center"/>
    </xf>
    <xf numFmtId="169" fontId="3" fillId="14" borderId="7" xfId="2" applyNumberFormat="1" applyFont="1" applyFill="1" applyBorder="1" applyAlignment="1">
      <alignment horizontal="center"/>
    </xf>
    <xf numFmtId="169" fontId="3" fillId="14" borderId="36" xfId="2" applyNumberFormat="1" applyFont="1" applyFill="1" applyBorder="1" applyAlignment="1">
      <alignment horizontal="center"/>
    </xf>
    <xf numFmtId="169" fontId="3" fillId="14" borderId="6" xfId="2" applyNumberFormat="1" applyFont="1" applyFill="1" applyBorder="1" applyAlignment="1">
      <alignment horizontal="center"/>
    </xf>
    <xf numFmtId="169" fontId="3" fillId="14" borderId="7" xfId="1" applyNumberFormat="1" applyFont="1" applyFill="1" applyBorder="1" applyAlignment="1">
      <alignment horizontal="center"/>
    </xf>
    <xf numFmtId="169" fontId="3" fillId="14" borderId="36" xfId="1" applyNumberFormat="1" applyFont="1" applyFill="1" applyBorder="1" applyAlignment="1">
      <alignment horizontal="center"/>
    </xf>
    <xf numFmtId="169" fontId="3" fillId="14" borderId="6" xfId="1" applyNumberFormat="1" applyFont="1" applyFill="1" applyBorder="1" applyAlignment="1">
      <alignment horizontal="center"/>
    </xf>
    <xf numFmtId="169" fontId="3" fillId="14" borderId="11" xfId="2" applyNumberFormat="1" applyFont="1" applyFill="1" applyBorder="1" applyAlignment="1">
      <alignment horizontal="center"/>
    </xf>
    <xf numFmtId="0" fontId="3" fillId="14" borderId="11" xfId="1" applyFont="1" applyFill="1" applyBorder="1" applyAlignment="1">
      <alignment horizontal="center"/>
    </xf>
    <xf numFmtId="0" fontId="2" fillId="13" borderId="7" xfId="1" applyFont="1" applyFill="1" applyBorder="1" applyAlignment="1">
      <alignment horizontal="left" vertical="center"/>
    </xf>
    <xf numFmtId="0" fontId="2" fillId="13" borderId="36" xfId="1" applyFont="1" applyFill="1" applyBorder="1" applyAlignment="1">
      <alignment horizontal="left" vertical="center"/>
    </xf>
    <xf numFmtId="0" fontId="2" fillId="13" borderId="6" xfId="1" applyFont="1" applyFill="1" applyBorder="1" applyAlignment="1">
      <alignment horizontal="left" vertical="center"/>
    </xf>
    <xf numFmtId="0" fontId="2" fillId="15" borderId="11" xfId="1" applyFont="1" applyFill="1" applyBorder="1"/>
    <xf numFmtId="170" fontId="2" fillId="15" borderId="11" xfId="1" applyNumberFormat="1" applyFont="1" applyFill="1" applyBorder="1"/>
    <xf numFmtId="170" fontId="4" fillId="15" borderId="11" xfId="1" applyNumberFormat="1" applyFont="1" applyFill="1" applyBorder="1"/>
    <xf numFmtId="0" fontId="4" fillId="15" borderId="11" xfId="1" applyFont="1" applyFill="1" applyBorder="1"/>
    <xf numFmtId="167" fontId="2" fillId="13" borderId="11" xfId="1" applyNumberFormat="1" applyFont="1" applyFill="1" applyBorder="1" applyAlignment="1">
      <alignment horizontal="center"/>
    </xf>
    <xf numFmtId="169" fontId="2" fillId="13" borderId="11" xfId="2" applyNumberFormat="1" applyFont="1" applyFill="1" applyBorder="1" applyAlignment="1">
      <alignment horizontal="center"/>
    </xf>
    <xf numFmtId="165" fontId="2" fillId="13" borderId="7" xfId="2" applyFont="1" applyFill="1" applyBorder="1" applyAlignment="1">
      <alignment horizontal="center"/>
    </xf>
    <xf numFmtId="165" fontId="2" fillId="13" borderId="36" xfId="2" applyFont="1" applyFill="1" applyBorder="1" applyAlignment="1">
      <alignment horizontal="center"/>
    </xf>
    <xf numFmtId="165" fontId="2" fillId="13" borderId="6" xfId="2" applyFont="1" applyFill="1" applyBorder="1" applyAlignment="1">
      <alignment horizontal="center"/>
    </xf>
    <xf numFmtId="167" fontId="2" fillId="7" borderId="11" xfId="1" applyNumberFormat="1" applyFont="1" applyFill="1" applyBorder="1" applyAlignment="1">
      <alignment horizontal="center"/>
    </xf>
    <xf numFmtId="166" fontId="2" fillId="7" borderId="11" xfId="1" applyNumberFormat="1" applyFont="1" applyFill="1" applyBorder="1" applyAlignment="1">
      <alignment horizontal="center"/>
    </xf>
    <xf numFmtId="0" fontId="2" fillId="7" borderId="11" xfId="1" applyFont="1" applyFill="1" applyBorder="1" applyAlignment="1">
      <alignment horizontal="center"/>
    </xf>
    <xf numFmtId="165" fontId="2" fillId="7" borderId="11" xfId="2" applyFont="1" applyFill="1" applyBorder="1" applyAlignment="1">
      <alignment horizontal="center"/>
    </xf>
    <xf numFmtId="0" fontId="2" fillId="19" borderId="11" xfId="1" applyFont="1" applyFill="1" applyBorder="1" applyAlignment="1">
      <alignment horizontal="center"/>
    </xf>
    <xf numFmtId="2" fontId="2" fillId="19" borderId="11" xfId="1" applyNumberFormat="1" applyFont="1" applyFill="1" applyBorder="1" applyAlignment="1">
      <alignment horizontal="center"/>
    </xf>
    <xf numFmtId="0" fontId="2" fillId="7" borderId="36" xfId="1" applyFont="1" applyFill="1" applyBorder="1" applyAlignment="1">
      <alignment horizontal="center"/>
    </xf>
    <xf numFmtId="0" fontId="3" fillId="15" borderId="11" xfId="1" applyFont="1" applyFill="1" applyBorder="1" applyAlignment="1">
      <alignment horizontal="center"/>
    </xf>
    <xf numFmtId="165" fontId="3" fillId="15" borderId="11" xfId="2" applyFont="1" applyFill="1" applyBorder="1" applyAlignment="1">
      <alignment horizontal="center"/>
    </xf>
    <xf numFmtId="9" fontId="3" fillId="15" borderId="11" xfId="3" applyFont="1" applyFill="1" applyBorder="1" applyAlignment="1">
      <alignment horizontal="center"/>
    </xf>
    <xf numFmtId="166" fontId="3" fillId="0" borderId="37" xfId="1" applyNumberFormat="1" applyFont="1" applyBorder="1"/>
    <xf numFmtId="0" fontId="3" fillId="0" borderId="37" xfId="1" applyFont="1" applyBorder="1"/>
    <xf numFmtId="0" fontId="2" fillId="16" borderId="11" xfId="1" applyFont="1" applyFill="1" applyBorder="1" applyAlignment="1">
      <alignment horizontal="center"/>
    </xf>
    <xf numFmtId="165" fontId="2" fillId="16" borderId="11" xfId="2" applyFont="1" applyFill="1" applyBorder="1" applyAlignment="1">
      <alignment horizontal="center"/>
    </xf>
    <xf numFmtId="0" fontId="2" fillId="17" borderId="11" xfId="1" applyFont="1" applyFill="1" applyBorder="1" applyAlignment="1">
      <alignment horizontal="center"/>
    </xf>
    <xf numFmtId="166" fontId="3" fillId="18" borderId="7" xfId="2" applyNumberFormat="1" applyFont="1" applyFill="1" applyBorder="1" applyAlignment="1">
      <alignment horizontal="center"/>
    </xf>
    <xf numFmtId="166" fontId="3" fillId="18" borderId="36" xfId="2" applyNumberFormat="1" applyFont="1" applyFill="1" applyBorder="1" applyAlignment="1">
      <alignment horizontal="center"/>
    </xf>
    <xf numFmtId="166" fontId="3" fillId="18" borderId="6" xfId="2" applyNumberFormat="1" applyFont="1" applyFill="1" applyBorder="1" applyAlignment="1">
      <alignment horizontal="center"/>
    </xf>
    <xf numFmtId="9" fontId="3" fillId="18" borderId="11" xfId="3" applyFont="1" applyFill="1" applyBorder="1" applyAlignment="1">
      <alignment horizontal="center"/>
    </xf>
    <xf numFmtId="0" fontId="2" fillId="20" borderId="7" xfId="1" applyFont="1" applyFill="1" applyBorder="1" applyAlignment="1">
      <alignment horizontal="center"/>
    </xf>
    <xf numFmtId="0" fontId="2" fillId="20" borderId="36" xfId="1" applyFont="1" applyFill="1" applyBorder="1" applyAlignment="1">
      <alignment horizontal="center"/>
    </xf>
    <xf numFmtId="0" fontId="2" fillId="20" borderId="6" xfId="1" applyFont="1" applyFill="1" applyBorder="1" applyAlignment="1">
      <alignment horizontal="center"/>
    </xf>
    <xf numFmtId="9" fontId="2" fillId="20" borderId="11" xfId="3" applyFont="1" applyFill="1" applyBorder="1" applyAlignment="1">
      <alignment horizontal="center"/>
    </xf>
    <xf numFmtId="0" fontId="3" fillId="0" borderId="36" xfId="1" applyFont="1" applyBorder="1" applyAlignment="1">
      <alignment horizontal="left"/>
    </xf>
    <xf numFmtId="0" fontId="3" fillId="0" borderId="6" xfId="1" applyFont="1" applyBorder="1" applyAlignment="1">
      <alignment horizontal="left"/>
    </xf>
    <xf numFmtId="165" fontId="3" fillId="0" borderId="7" xfId="2" applyFont="1" applyFill="1" applyBorder="1" applyAlignment="1">
      <alignment horizontal="center"/>
    </xf>
    <xf numFmtId="165" fontId="3" fillId="0" borderId="36" xfId="2" applyFont="1" applyFill="1" applyBorder="1" applyAlignment="1">
      <alignment horizontal="center"/>
    </xf>
    <xf numFmtId="165" fontId="3" fillId="0" borderId="6" xfId="2" applyFont="1" applyFill="1" applyBorder="1" applyAlignment="1">
      <alignment horizontal="center"/>
    </xf>
    <xf numFmtId="9" fontId="3" fillId="0" borderId="7" xfId="3" applyFont="1" applyFill="1" applyBorder="1" applyAlignment="1">
      <alignment horizontal="center"/>
    </xf>
    <xf numFmtId="9" fontId="3" fillId="0" borderId="36" xfId="3" applyFont="1" applyFill="1" applyBorder="1" applyAlignment="1">
      <alignment horizontal="center"/>
    </xf>
    <xf numFmtId="9" fontId="3" fillId="0" borderId="6" xfId="3" applyFont="1" applyFill="1" applyBorder="1" applyAlignment="1">
      <alignment horizontal="center"/>
    </xf>
    <xf numFmtId="9" fontId="3" fillId="15" borderId="7" xfId="3" applyFont="1" applyFill="1" applyBorder="1" applyAlignment="1">
      <alignment horizontal="center"/>
    </xf>
    <xf numFmtId="9" fontId="3" fillId="15" borderId="36" xfId="3" applyFont="1" applyFill="1" applyBorder="1" applyAlignment="1">
      <alignment horizontal="center"/>
    </xf>
    <xf numFmtId="9" fontId="3" fillId="15" borderId="6" xfId="3" applyFont="1" applyFill="1" applyBorder="1" applyAlignment="1">
      <alignment horizontal="center"/>
    </xf>
    <xf numFmtId="0" fontId="2" fillId="7" borderId="7" xfId="1" applyFont="1" applyFill="1" applyBorder="1" applyAlignment="1">
      <alignment horizontal="center" wrapText="1"/>
    </xf>
    <xf numFmtId="0" fontId="2" fillId="7" borderId="36" xfId="1" applyFont="1" applyFill="1" applyBorder="1" applyAlignment="1">
      <alignment horizontal="center" wrapText="1"/>
    </xf>
    <xf numFmtId="0" fontId="2" fillId="7" borderId="6" xfId="1" applyFont="1" applyFill="1" applyBorder="1" applyAlignment="1">
      <alignment horizontal="center" wrapText="1"/>
    </xf>
    <xf numFmtId="9" fontId="2" fillId="7" borderId="7" xfId="3" applyFont="1" applyFill="1" applyBorder="1" applyAlignment="1">
      <alignment horizontal="center"/>
    </xf>
    <xf numFmtId="9" fontId="2" fillId="7" borderId="36" xfId="3" applyFont="1" applyFill="1" applyBorder="1" applyAlignment="1">
      <alignment horizontal="center"/>
    </xf>
    <xf numFmtId="9" fontId="2" fillId="7" borderId="6" xfId="3" applyFont="1" applyFill="1" applyBorder="1" applyAlignment="1">
      <alignment horizontal="center"/>
    </xf>
    <xf numFmtId="165" fontId="2" fillId="20" borderId="7" xfId="2" applyFont="1" applyFill="1" applyBorder="1" applyAlignment="1">
      <alignment horizontal="center"/>
    </xf>
    <xf numFmtId="165" fontId="2" fillId="20" borderId="36" xfId="2" applyFont="1" applyFill="1" applyBorder="1" applyAlignment="1">
      <alignment horizontal="center"/>
    </xf>
    <xf numFmtId="165" fontId="2" fillId="20" borderId="6" xfId="2" applyFont="1" applyFill="1" applyBorder="1" applyAlignment="1">
      <alignment horizontal="center"/>
    </xf>
    <xf numFmtId="9" fontId="2" fillId="20" borderId="7" xfId="3" applyFont="1" applyFill="1" applyBorder="1" applyAlignment="1">
      <alignment horizontal="center"/>
    </xf>
    <xf numFmtId="9" fontId="2" fillId="20" borderId="36" xfId="3" applyFont="1" applyFill="1" applyBorder="1" applyAlignment="1">
      <alignment horizontal="center"/>
    </xf>
    <xf numFmtId="9" fontId="2" fillId="20" borderId="6" xfId="3" applyFont="1" applyFill="1" applyBorder="1" applyAlignment="1">
      <alignment horizontal="center"/>
    </xf>
    <xf numFmtId="0" fontId="3" fillId="0" borderId="0" xfId="1" applyFont="1"/>
    <xf numFmtId="165" fontId="12" fillId="14" borderId="38" xfId="1" applyNumberFormat="1" applyFont="1" applyFill="1" applyBorder="1" applyAlignment="1">
      <alignment horizontal="left" vertical="top"/>
    </xf>
    <xf numFmtId="0" fontId="12" fillId="14" borderId="37" xfId="1" applyFont="1" applyFill="1" applyBorder="1" applyAlignment="1">
      <alignment horizontal="left" vertical="top"/>
    </xf>
    <xf numFmtId="0" fontId="12" fillId="14" borderId="39" xfId="1" applyFont="1" applyFill="1" applyBorder="1" applyAlignment="1">
      <alignment horizontal="left" vertical="top"/>
    </xf>
    <xf numFmtId="0" fontId="12" fillId="14" borderId="40" xfId="1" applyFont="1" applyFill="1" applyBorder="1" applyAlignment="1">
      <alignment horizontal="left" vertical="top"/>
    </xf>
    <xf numFmtId="0" fontId="12" fillId="14" borderId="0" xfId="1" applyFont="1" applyFill="1" applyAlignment="1">
      <alignment horizontal="left" vertical="top"/>
    </xf>
    <xf numFmtId="0" fontId="12" fillId="14" borderId="41" xfId="1" applyFont="1" applyFill="1" applyBorder="1" applyAlignment="1">
      <alignment horizontal="left" vertical="top"/>
    </xf>
    <xf numFmtId="0" fontId="12" fillId="14" borderId="42" xfId="1" applyFont="1" applyFill="1" applyBorder="1" applyAlignment="1">
      <alignment horizontal="left" vertical="top"/>
    </xf>
    <xf numFmtId="0" fontId="12" fillId="14" borderId="43" xfId="1" applyFont="1" applyFill="1" applyBorder="1" applyAlignment="1">
      <alignment horizontal="left" vertical="top"/>
    </xf>
    <xf numFmtId="0" fontId="12" fillId="14" borderId="44" xfId="1" applyFont="1" applyFill="1" applyBorder="1" applyAlignment="1">
      <alignment horizontal="left" vertical="top"/>
    </xf>
    <xf numFmtId="0" fontId="12" fillId="0" borderId="0" xfId="1" applyFont="1"/>
    <xf numFmtId="0" fontId="2" fillId="21" borderId="7" xfId="1" applyFont="1" applyFill="1" applyBorder="1" applyAlignment="1">
      <alignment horizontal="center" wrapText="1"/>
    </xf>
    <xf numFmtId="0" fontId="2" fillId="21" borderId="36" xfId="1" applyFont="1" applyFill="1" applyBorder="1" applyAlignment="1">
      <alignment horizontal="center" wrapText="1"/>
    </xf>
    <xf numFmtId="0" fontId="2" fillId="21" borderId="6" xfId="1" applyFont="1" applyFill="1" applyBorder="1" applyAlignment="1">
      <alignment horizontal="center" wrapText="1"/>
    </xf>
    <xf numFmtId="165" fontId="2" fillId="21" borderId="11" xfId="2" applyFont="1" applyFill="1" applyBorder="1" applyAlignment="1">
      <alignment horizontal="center"/>
    </xf>
    <xf numFmtId="9" fontId="2" fillId="21" borderId="7" xfId="3" applyFont="1" applyFill="1" applyBorder="1" applyAlignment="1">
      <alignment horizontal="center"/>
    </xf>
    <xf numFmtId="9" fontId="2" fillId="21" borderId="36" xfId="3" applyFont="1" applyFill="1" applyBorder="1" applyAlignment="1">
      <alignment horizontal="center"/>
    </xf>
    <xf numFmtId="9" fontId="2" fillId="21" borderId="6" xfId="3" applyFont="1" applyFill="1" applyBorder="1" applyAlignment="1">
      <alignment horizontal="center"/>
    </xf>
    <xf numFmtId="0" fontId="2" fillId="6" borderId="11" xfId="1" applyFont="1" applyFill="1" applyBorder="1" applyAlignment="1">
      <alignment horizontal="center"/>
    </xf>
    <xf numFmtId="165" fontId="10" fillId="6" borderId="11" xfId="2" applyFont="1" applyFill="1" applyBorder="1" applyAlignment="1">
      <alignment horizontal="center"/>
    </xf>
    <xf numFmtId="9" fontId="10" fillId="6" borderId="11" xfId="3" applyFont="1" applyFill="1" applyBorder="1" applyAlignment="1">
      <alignment horizontal="center"/>
    </xf>
    <xf numFmtId="0" fontId="3" fillId="22" borderId="0" xfId="1" applyFont="1" applyFill="1"/>
    <xf numFmtId="0" fontId="3" fillId="23" borderId="0" xfId="1" applyFont="1" applyFill="1" applyAlignment="1">
      <alignment horizontal="center"/>
    </xf>
    <xf numFmtId="0" fontId="3" fillId="6" borderId="0" xfId="1" applyFont="1" applyFill="1" applyAlignment="1">
      <alignment horizontal="center"/>
    </xf>
    <xf numFmtId="0" fontId="3" fillId="24" borderId="0" xfId="1" applyFont="1" applyFill="1" applyAlignment="1">
      <alignment horizontal="center"/>
    </xf>
  </cellXfs>
  <cellStyles count="8">
    <cellStyle name="Comma 2" xfId="2" xr:uid="{EBE5D6FA-8FD3-994F-9221-E7DEBCCA6D67}"/>
    <cellStyle name="Normal" xfId="0" builtinId="0"/>
    <cellStyle name="Normal 2" xfId="1" xr:uid="{DB0336C0-B15C-1447-A5EE-4B0F3FBB99F8}"/>
    <cellStyle name="Percent 2" xfId="3" xr:uid="{CC4F3DFE-A49D-1943-A99D-AF22A7B2AFB6}"/>
    <cellStyle name="เครื่องหมายจุลภาค 4 2 2" xfId="5" xr:uid="{65448507-59F2-4A45-8BC2-13CEB328E904}"/>
    <cellStyle name="เครื่องหมายจุลภาค 5 2 2" xfId="6" xr:uid="{73BA220A-ACF8-BF4F-951D-2F6932BC9DA9}"/>
    <cellStyle name="เครื่องหมายจุลภาค 6 2" xfId="4" xr:uid="{1257573F-ECA9-8444-B00A-107C2DA541E8}"/>
    <cellStyle name="ปกติ 6 2" xfId="7" xr:uid="{5901FBCA-B37C-6F43-BEB7-9C195F561BA1}"/>
  </cellStyles>
  <dxfs count="0"/>
  <tableStyles count="0" defaultTableStyle="TableStyleMedium2" defaultPivotStyle="PivotStyleLight16"/>
  <colors>
    <mruColors>
      <color rgb="FFD96DCD"/>
      <color rgb="FFFFFF00"/>
      <color rgb="FFB5E7A2"/>
      <color rgb="FFE49F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829B9-AB1F-BE4A-AF49-5CFE0D9F9020}">
  <sheetPr>
    <tabColor rgb="FFFF0000"/>
  </sheetPr>
  <dimension ref="A1:GV207"/>
  <sheetViews>
    <sheetView showGridLines="0" tabSelected="1" zoomScaleNormal="80" workbookViewId="0">
      <pane xSplit="1" ySplit="3" topLeftCell="B4" activePane="bottomRight" state="frozen"/>
      <selection activeCell="Q131" sqref="Q131"/>
      <selection pane="topRight" activeCell="Q131" sqref="Q131"/>
      <selection pane="bottomLeft" activeCell="Q131" sqref="Q131"/>
      <selection pane="bottomRight" activeCell="O34" sqref="O34"/>
    </sheetView>
  </sheetViews>
  <sheetFormatPr baseColWidth="10" defaultColWidth="7.6640625" defaultRowHeight="13" x14ac:dyDescent="0.15"/>
  <cols>
    <col min="1" max="1" width="9.83203125" style="37" customWidth="1"/>
    <col min="2" max="2" width="6.83203125" style="40" bestFit="1" customWidth="1"/>
    <col min="3" max="6" width="4.6640625" style="40" customWidth="1"/>
    <col min="7" max="7" width="6.33203125" style="40" customWidth="1"/>
    <col min="8" max="8" width="5.83203125" style="41" customWidth="1"/>
    <col min="9" max="13" width="4.6640625" style="41" customWidth="1"/>
    <col min="14" max="14" width="6.5" style="41" customWidth="1"/>
    <col min="15" max="15" width="5.6640625" style="41" customWidth="1"/>
    <col min="16" max="20" width="4.6640625" style="41" customWidth="1"/>
    <col min="21" max="21" width="6.83203125" style="41" customWidth="1"/>
    <col min="22" max="27" width="4.6640625" style="41" customWidth="1"/>
    <col min="28" max="28" width="7.33203125" style="41" customWidth="1"/>
    <col min="29" max="29" width="6" style="41" customWidth="1"/>
    <col min="30" max="34" width="4.6640625" style="41" customWidth="1"/>
    <col min="35" max="35" width="6.83203125" style="41" customWidth="1"/>
    <col min="36" max="36" width="8.6640625" style="41" customWidth="1"/>
    <col min="37" max="41" width="4.6640625" style="41" customWidth="1"/>
    <col min="42" max="42" width="7" style="41" customWidth="1"/>
    <col min="43" max="43" width="9" style="41" customWidth="1"/>
    <col min="44" max="44" width="5.83203125" style="41" customWidth="1"/>
    <col min="45" max="48" width="4.6640625" style="41" customWidth="1"/>
    <col min="49" max="49" width="7" style="41" customWidth="1"/>
    <col min="50" max="50" width="4.6640625" style="41" customWidth="1"/>
    <col min="51" max="55" width="4.83203125" style="41" customWidth="1"/>
    <col min="56" max="56" width="7.33203125" style="41" customWidth="1"/>
    <col min="57" max="57" width="7.6640625" style="41" customWidth="1"/>
    <col min="58" max="62" width="4.83203125" style="41" customWidth="1"/>
    <col min="63" max="63" width="8.5" style="41" customWidth="1"/>
    <col min="64" max="64" width="8.1640625" style="41" customWidth="1"/>
    <col min="65" max="69" width="4.83203125" style="41" customWidth="1"/>
    <col min="70" max="70" width="7.6640625" style="41" customWidth="1"/>
    <col min="71" max="71" width="8.1640625" style="41" customWidth="1"/>
    <col min="72" max="76" width="4.83203125" style="41" customWidth="1"/>
    <col min="77" max="77" width="7.6640625" style="41" customWidth="1"/>
    <col min="78" max="78" width="8.1640625" style="41" customWidth="1"/>
    <col min="79" max="83" width="4.83203125" style="41" customWidth="1"/>
    <col min="84" max="84" width="8.1640625" style="41" customWidth="1"/>
    <col min="85" max="85" width="7.6640625" style="41" customWidth="1"/>
    <col min="86" max="90" width="4.83203125" style="41" customWidth="1"/>
    <col min="91" max="91" width="7" style="41" customWidth="1"/>
    <col min="92" max="92" width="7.83203125" style="41" customWidth="1"/>
    <col min="93" max="97" width="4.83203125" style="41" customWidth="1"/>
    <col min="98" max="98" width="7.33203125" style="41" customWidth="1"/>
    <col min="99" max="99" width="8.83203125" style="41" customWidth="1"/>
    <col min="100" max="104" width="4.83203125" style="41" customWidth="1"/>
    <col min="105" max="106" width="8" style="41" customWidth="1"/>
    <col min="107" max="111" width="4.83203125" style="41" customWidth="1"/>
    <col min="112" max="113" width="8.1640625" style="41" customWidth="1"/>
    <col min="114" max="118" width="4.83203125" style="41" customWidth="1"/>
    <col min="119" max="120" width="7.33203125" style="41" customWidth="1"/>
    <col min="121" max="125" width="4.83203125" style="41" customWidth="1"/>
    <col min="126" max="127" width="6.5" style="41" customWidth="1"/>
    <col min="128" max="132" width="4.83203125" style="41" customWidth="1"/>
    <col min="133" max="134" width="7.33203125" style="41" customWidth="1"/>
    <col min="135" max="139" width="4.83203125" style="41" customWidth="1"/>
    <col min="140" max="141" width="9" style="41" customWidth="1"/>
    <col min="142" max="162" width="5.83203125" style="41" customWidth="1"/>
    <col min="163" max="188" width="5.5" style="41" customWidth="1"/>
    <col min="189" max="189" width="6.1640625" style="41" customWidth="1"/>
    <col min="190" max="195" width="5.5" style="41" customWidth="1"/>
    <col min="196" max="196" width="7.1640625" style="41" customWidth="1"/>
    <col min="197" max="202" width="5.5" style="41" customWidth="1"/>
    <col min="203" max="203" width="6.5" style="41" customWidth="1"/>
    <col min="204" max="204" width="5.5" style="41" customWidth="1"/>
    <col min="205" max="16384" width="7.6640625" style="41"/>
  </cols>
  <sheetData>
    <row r="1" spans="1:204" s="1" customFormat="1" x14ac:dyDescent="0.15">
      <c r="A1" s="55" t="s">
        <v>0</v>
      </c>
      <c r="B1" s="56">
        <v>25263</v>
      </c>
      <c r="C1" s="57"/>
      <c r="D1" s="57"/>
      <c r="E1" s="57"/>
      <c r="F1" s="57"/>
      <c r="G1" s="57"/>
      <c r="H1" s="58"/>
      <c r="I1" s="56"/>
      <c r="J1" s="57"/>
      <c r="K1" s="57"/>
      <c r="L1" s="57"/>
      <c r="M1" s="57"/>
      <c r="N1" s="57"/>
      <c r="O1" s="58"/>
      <c r="P1" s="56"/>
      <c r="Q1" s="57"/>
      <c r="R1" s="57"/>
      <c r="S1" s="57"/>
      <c r="T1" s="57"/>
      <c r="U1" s="57"/>
      <c r="V1" s="58"/>
      <c r="W1" s="56"/>
      <c r="X1" s="57"/>
      <c r="Y1" s="57"/>
      <c r="Z1" s="57"/>
      <c r="AA1" s="57"/>
      <c r="AB1" s="57"/>
      <c r="AC1" s="58"/>
      <c r="AD1" s="56"/>
      <c r="AE1" s="57"/>
      <c r="AF1" s="57"/>
      <c r="AG1" s="57"/>
      <c r="AH1" s="57"/>
      <c r="AI1" s="57"/>
      <c r="AJ1" s="58"/>
      <c r="AK1" s="56"/>
      <c r="AL1" s="57"/>
      <c r="AM1" s="57"/>
      <c r="AN1" s="57"/>
      <c r="AO1" s="57"/>
      <c r="AP1" s="57"/>
      <c r="AQ1" s="58"/>
      <c r="AR1" s="56"/>
      <c r="AS1" s="57"/>
      <c r="AT1" s="57"/>
      <c r="AU1" s="57"/>
      <c r="AV1" s="57"/>
      <c r="AW1" s="57"/>
      <c r="AX1" s="58"/>
      <c r="AY1" s="56"/>
      <c r="AZ1" s="57"/>
      <c r="BA1" s="57"/>
      <c r="BB1" s="57"/>
      <c r="BC1" s="57"/>
      <c r="BD1" s="57"/>
      <c r="BE1" s="58"/>
      <c r="BF1" s="56"/>
      <c r="BG1" s="57"/>
      <c r="BH1" s="57"/>
      <c r="BI1" s="57"/>
      <c r="BJ1" s="57"/>
      <c r="BK1" s="57"/>
      <c r="BL1" s="58"/>
      <c r="BM1" s="56"/>
      <c r="BN1" s="57"/>
      <c r="BO1" s="57"/>
      <c r="BP1" s="57"/>
      <c r="BQ1" s="57"/>
      <c r="BR1" s="57"/>
      <c r="BS1" s="58"/>
      <c r="BT1" s="56"/>
      <c r="BU1" s="57"/>
      <c r="BV1" s="57"/>
      <c r="BW1" s="57"/>
      <c r="BX1" s="57"/>
      <c r="BY1" s="57"/>
      <c r="BZ1" s="58"/>
      <c r="CA1" s="56"/>
      <c r="CB1" s="57"/>
      <c r="CC1" s="57"/>
      <c r="CD1" s="57"/>
      <c r="CE1" s="57"/>
      <c r="CF1" s="57"/>
      <c r="CG1" s="58"/>
      <c r="CH1" s="56"/>
      <c r="CI1" s="57"/>
      <c r="CJ1" s="57"/>
      <c r="CK1" s="57"/>
      <c r="CL1" s="57"/>
      <c r="CM1" s="57"/>
      <c r="CN1" s="58"/>
      <c r="CO1" s="56"/>
      <c r="CP1" s="57"/>
      <c r="CQ1" s="57"/>
      <c r="CR1" s="57"/>
      <c r="CS1" s="57"/>
      <c r="CT1" s="57"/>
      <c r="CU1" s="58"/>
      <c r="CV1" s="56"/>
      <c r="CW1" s="57"/>
      <c r="CX1" s="57"/>
      <c r="CY1" s="57"/>
      <c r="CZ1" s="57"/>
      <c r="DA1" s="57"/>
      <c r="DB1" s="58"/>
      <c r="DC1" s="56"/>
      <c r="DD1" s="57"/>
      <c r="DE1" s="57"/>
      <c r="DF1" s="57"/>
      <c r="DG1" s="57"/>
      <c r="DH1" s="57"/>
      <c r="DI1" s="58"/>
      <c r="DJ1" s="56"/>
      <c r="DK1" s="57"/>
      <c r="DL1" s="57"/>
      <c r="DM1" s="57"/>
      <c r="DN1" s="57"/>
      <c r="DO1" s="57"/>
      <c r="DP1" s="58"/>
      <c r="DQ1" s="56"/>
      <c r="DR1" s="57"/>
      <c r="DS1" s="57"/>
      <c r="DT1" s="57"/>
      <c r="DU1" s="57"/>
      <c r="DV1" s="57"/>
      <c r="DW1" s="58"/>
      <c r="DX1" s="56"/>
      <c r="DY1" s="57"/>
      <c r="DZ1" s="57"/>
      <c r="EA1" s="57"/>
      <c r="EB1" s="57"/>
      <c r="EC1" s="57"/>
      <c r="ED1" s="58"/>
      <c r="EE1" s="56"/>
      <c r="EF1" s="57"/>
      <c r="EG1" s="57"/>
      <c r="EH1" s="57"/>
      <c r="EI1" s="57"/>
      <c r="EJ1" s="57"/>
      <c r="EK1" s="58"/>
      <c r="EL1" s="56"/>
      <c r="EM1" s="57"/>
      <c r="EN1" s="57"/>
      <c r="EO1" s="57"/>
      <c r="EP1" s="57"/>
      <c r="EQ1" s="57"/>
      <c r="ER1" s="58"/>
      <c r="ES1" s="56"/>
      <c r="ET1" s="57"/>
      <c r="EU1" s="57"/>
      <c r="EV1" s="57"/>
      <c r="EW1" s="57"/>
      <c r="EX1" s="57"/>
      <c r="EY1" s="58"/>
      <c r="EZ1" s="56"/>
      <c r="FA1" s="57"/>
      <c r="FB1" s="57"/>
      <c r="FC1" s="57"/>
      <c r="FD1" s="57"/>
      <c r="FE1" s="57"/>
      <c r="FF1" s="58"/>
      <c r="FG1" s="56"/>
      <c r="FH1" s="57"/>
      <c r="FI1" s="57"/>
      <c r="FJ1" s="57"/>
      <c r="FK1" s="57"/>
      <c r="FL1" s="57"/>
      <c r="FM1" s="58"/>
      <c r="FN1" s="56"/>
      <c r="FO1" s="57"/>
      <c r="FP1" s="57"/>
      <c r="FQ1" s="57"/>
      <c r="FR1" s="57"/>
      <c r="FS1" s="57"/>
      <c r="FT1" s="58"/>
      <c r="FU1" s="56"/>
      <c r="FV1" s="57"/>
      <c r="FW1" s="57"/>
      <c r="FX1" s="57"/>
      <c r="FY1" s="57"/>
      <c r="FZ1" s="57"/>
      <c r="GA1" s="58"/>
      <c r="GB1" s="56"/>
      <c r="GC1" s="57"/>
      <c r="GD1" s="57"/>
      <c r="GE1" s="57"/>
      <c r="GF1" s="57"/>
      <c r="GG1" s="57"/>
      <c r="GH1" s="58"/>
      <c r="GI1" s="56"/>
      <c r="GJ1" s="57"/>
      <c r="GK1" s="57"/>
      <c r="GL1" s="57"/>
      <c r="GM1" s="57"/>
      <c r="GN1" s="57"/>
      <c r="GO1" s="58"/>
      <c r="GP1" s="56"/>
      <c r="GQ1" s="57"/>
      <c r="GR1" s="57"/>
      <c r="GS1" s="57"/>
      <c r="GT1" s="57"/>
      <c r="GU1" s="57"/>
      <c r="GV1" s="58"/>
    </row>
    <row r="2" spans="1:204" s="1" customFormat="1" ht="12.75" customHeight="1" x14ac:dyDescent="0.15">
      <c r="A2" s="55"/>
      <c r="B2" s="59" t="s">
        <v>1</v>
      </c>
      <c r="C2" s="60"/>
      <c r="D2" s="61" t="s">
        <v>2</v>
      </c>
      <c r="E2" s="62"/>
      <c r="F2" s="63" t="s">
        <v>3</v>
      </c>
      <c r="G2" s="65" t="s">
        <v>4</v>
      </c>
      <c r="H2" s="67" t="s">
        <v>5</v>
      </c>
      <c r="I2" s="59" t="s">
        <v>1</v>
      </c>
      <c r="J2" s="60"/>
      <c r="K2" s="61" t="s">
        <v>2</v>
      </c>
      <c r="L2" s="62"/>
      <c r="M2" s="63" t="s">
        <v>3</v>
      </c>
      <c r="N2" s="65" t="s">
        <v>4</v>
      </c>
      <c r="O2" s="67" t="s">
        <v>5</v>
      </c>
      <c r="P2" s="59" t="s">
        <v>1</v>
      </c>
      <c r="Q2" s="60"/>
      <c r="R2" s="61" t="s">
        <v>2</v>
      </c>
      <c r="S2" s="62"/>
      <c r="T2" s="63" t="s">
        <v>3</v>
      </c>
      <c r="U2" s="65" t="s">
        <v>4</v>
      </c>
      <c r="V2" s="67" t="s">
        <v>5</v>
      </c>
      <c r="W2" s="59" t="s">
        <v>1</v>
      </c>
      <c r="X2" s="60"/>
      <c r="Y2" s="61" t="s">
        <v>2</v>
      </c>
      <c r="Z2" s="62"/>
      <c r="AA2" s="63" t="s">
        <v>3</v>
      </c>
      <c r="AB2" s="65" t="s">
        <v>4</v>
      </c>
      <c r="AC2" s="67" t="s">
        <v>5</v>
      </c>
      <c r="AD2" s="59" t="s">
        <v>1</v>
      </c>
      <c r="AE2" s="60"/>
      <c r="AF2" s="61" t="s">
        <v>2</v>
      </c>
      <c r="AG2" s="62"/>
      <c r="AH2" s="63" t="s">
        <v>3</v>
      </c>
      <c r="AI2" s="65" t="s">
        <v>4</v>
      </c>
      <c r="AJ2" s="67" t="s">
        <v>5</v>
      </c>
      <c r="AK2" s="59" t="s">
        <v>1</v>
      </c>
      <c r="AL2" s="60"/>
      <c r="AM2" s="61" t="s">
        <v>2</v>
      </c>
      <c r="AN2" s="62"/>
      <c r="AO2" s="63" t="s">
        <v>3</v>
      </c>
      <c r="AP2" s="65" t="s">
        <v>4</v>
      </c>
      <c r="AQ2" s="67" t="s">
        <v>5</v>
      </c>
      <c r="AR2" s="59" t="s">
        <v>1</v>
      </c>
      <c r="AS2" s="60"/>
      <c r="AT2" s="61" t="s">
        <v>2</v>
      </c>
      <c r="AU2" s="62"/>
      <c r="AV2" s="63" t="s">
        <v>3</v>
      </c>
      <c r="AW2" s="65" t="s">
        <v>4</v>
      </c>
      <c r="AX2" s="67" t="s">
        <v>5</v>
      </c>
      <c r="AY2" s="59" t="s">
        <v>1</v>
      </c>
      <c r="AZ2" s="60"/>
      <c r="BA2" s="61" t="s">
        <v>2</v>
      </c>
      <c r="BB2" s="62"/>
      <c r="BC2" s="63" t="s">
        <v>3</v>
      </c>
      <c r="BD2" s="65" t="s">
        <v>4</v>
      </c>
      <c r="BE2" s="67" t="s">
        <v>5</v>
      </c>
      <c r="BF2" s="59" t="s">
        <v>1</v>
      </c>
      <c r="BG2" s="60"/>
      <c r="BH2" s="61" t="s">
        <v>2</v>
      </c>
      <c r="BI2" s="62"/>
      <c r="BJ2" s="63" t="s">
        <v>3</v>
      </c>
      <c r="BK2" s="65" t="s">
        <v>4</v>
      </c>
      <c r="BL2" s="67" t="s">
        <v>5</v>
      </c>
      <c r="BM2" s="59" t="s">
        <v>1</v>
      </c>
      <c r="BN2" s="60"/>
      <c r="BO2" s="61" t="s">
        <v>2</v>
      </c>
      <c r="BP2" s="62"/>
      <c r="BQ2" s="63" t="s">
        <v>3</v>
      </c>
      <c r="BR2" s="65" t="s">
        <v>4</v>
      </c>
      <c r="BS2" s="67" t="s">
        <v>5</v>
      </c>
      <c r="BT2" s="59" t="s">
        <v>1</v>
      </c>
      <c r="BU2" s="60"/>
      <c r="BV2" s="61" t="s">
        <v>2</v>
      </c>
      <c r="BW2" s="62"/>
      <c r="BX2" s="63" t="s">
        <v>3</v>
      </c>
      <c r="BY2" s="65" t="s">
        <v>4</v>
      </c>
      <c r="BZ2" s="67" t="s">
        <v>5</v>
      </c>
      <c r="CA2" s="59" t="s">
        <v>1</v>
      </c>
      <c r="CB2" s="60"/>
      <c r="CC2" s="61" t="s">
        <v>2</v>
      </c>
      <c r="CD2" s="62"/>
      <c r="CE2" s="63" t="s">
        <v>3</v>
      </c>
      <c r="CF2" s="65" t="s">
        <v>4</v>
      </c>
      <c r="CG2" s="67" t="s">
        <v>5</v>
      </c>
      <c r="CH2" s="59" t="s">
        <v>1</v>
      </c>
      <c r="CI2" s="60"/>
      <c r="CJ2" s="61" t="s">
        <v>2</v>
      </c>
      <c r="CK2" s="62"/>
      <c r="CL2" s="63" t="s">
        <v>3</v>
      </c>
      <c r="CM2" s="65" t="s">
        <v>4</v>
      </c>
      <c r="CN2" s="67" t="s">
        <v>5</v>
      </c>
      <c r="CO2" s="59" t="s">
        <v>1</v>
      </c>
      <c r="CP2" s="60"/>
      <c r="CQ2" s="61" t="s">
        <v>2</v>
      </c>
      <c r="CR2" s="62"/>
      <c r="CS2" s="63" t="s">
        <v>3</v>
      </c>
      <c r="CT2" s="65" t="s">
        <v>4</v>
      </c>
      <c r="CU2" s="67" t="s">
        <v>5</v>
      </c>
      <c r="CV2" s="59" t="s">
        <v>1</v>
      </c>
      <c r="CW2" s="60"/>
      <c r="CX2" s="61" t="s">
        <v>2</v>
      </c>
      <c r="CY2" s="62"/>
      <c r="CZ2" s="63" t="s">
        <v>3</v>
      </c>
      <c r="DA2" s="65" t="s">
        <v>4</v>
      </c>
      <c r="DB2" s="67" t="s">
        <v>5</v>
      </c>
      <c r="DC2" s="59" t="s">
        <v>1</v>
      </c>
      <c r="DD2" s="60"/>
      <c r="DE2" s="61" t="s">
        <v>2</v>
      </c>
      <c r="DF2" s="62"/>
      <c r="DG2" s="63" t="s">
        <v>3</v>
      </c>
      <c r="DH2" s="65" t="s">
        <v>4</v>
      </c>
      <c r="DI2" s="67" t="s">
        <v>5</v>
      </c>
      <c r="DJ2" s="59" t="s">
        <v>1</v>
      </c>
      <c r="DK2" s="60"/>
      <c r="DL2" s="61" t="s">
        <v>2</v>
      </c>
      <c r="DM2" s="62"/>
      <c r="DN2" s="63" t="s">
        <v>3</v>
      </c>
      <c r="DO2" s="65" t="s">
        <v>4</v>
      </c>
      <c r="DP2" s="67" t="s">
        <v>5</v>
      </c>
      <c r="DQ2" s="59" t="s">
        <v>1</v>
      </c>
      <c r="DR2" s="60"/>
      <c r="DS2" s="61" t="s">
        <v>2</v>
      </c>
      <c r="DT2" s="62"/>
      <c r="DU2" s="63" t="s">
        <v>3</v>
      </c>
      <c r="DV2" s="65" t="s">
        <v>4</v>
      </c>
      <c r="DW2" s="67" t="s">
        <v>5</v>
      </c>
      <c r="DX2" s="59" t="s">
        <v>1</v>
      </c>
      <c r="DY2" s="60"/>
      <c r="DZ2" s="61" t="s">
        <v>2</v>
      </c>
      <c r="EA2" s="62"/>
      <c r="EB2" s="63" t="s">
        <v>3</v>
      </c>
      <c r="EC2" s="65" t="s">
        <v>4</v>
      </c>
      <c r="ED2" s="67" t="s">
        <v>5</v>
      </c>
      <c r="EE2" s="59" t="s">
        <v>1</v>
      </c>
      <c r="EF2" s="60"/>
      <c r="EG2" s="61" t="s">
        <v>2</v>
      </c>
      <c r="EH2" s="62"/>
      <c r="EI2" s="63" t="s">
        <v>3</v>
      </c>
      <c r="EJ2" s="65" t="s">
        <v>4</v>
      </c>
      <c r="EK2" s="67" t="s">
        <v>5</v>
      </c>
      <c r="EL2" s="59" t="s">
        <v>1</v>
      </c>
      <c r="EM2" s="60"/>
      <c r="EN2" s="61" t="s">
        <v>2</v>
      </c>
      <c r="EO2" s="62"/>
      <c r="EP2" s="63" t="s">
        <v>3</v>
      </c>
      <c r="EQ2" s="65" t="s">
        <v>4</v>
      </c>
      <c r="ER2" s="67" t="s">
        <v>5</v>
      </c>
      <c r="ES2" s="59" t="s">
        <v>1</v>
      </c>
      <c r="ET2" s="60"/>
      <c r="EU2" s="61" t="s">
        <v>2</v>
      </c>
      <c r="EV2" s="62"/>
      <c r="EW2" s="63" t="s">
        <v>3</v>
      </c>
      <c r="EX2" s="65" t="s">
        <v>4</v>
      </c>
      <c r="EY2" s="67" t="s">
        <v>5</v>
      </c>
      <c r="EZ2" s="59" t="s">
        <v>1</v>
      </c>
      <c r="FA2" s="60"/>
      <c r="FB2" s="61" t="s">
        <v>2</v>
      </c>
      <c r="FC2" s="62"/>
      <c r="FD2" s="63" t="s">
        <v>3</v>
      </c>
      <c r="FE2" s="65" t="s">
        <v>4</v>
      </c>
      <c r="FF2" s="67" t="s">
        <v>5</v>
      </c>
      <c r="FG2" s="59" t="s">
        <v>1</v>
      </c>
      <c r="FH2" s="60"/>
      <c r="FI2" s="61" t="s">
        <v>2</v>
      </c>
      <c r="FJ2" s="62"/>
      <c r="FK2" s="63" t="s">
        <v>3</v>
      </c>
      <c r="FL2" s="65" t="s">
        <v>4</v>
      </c>
      <c r="FM2" s="67" t="s">
        <v>5</v>
      </c>
      <c r="FN2" s="59" t="s">
        <v>1</v>
      </c>
      <c r="FO2" s="60"/>
      <c r="FP2" s="61" t="s">
        <v>2</v>
      </c>
      <c r="FQ2" s="62"/>
      <c r="FR2" s="63" t="s">
        <v>3</v>
      </c>
      <c r="FS2" s="65" t="s">
        <v>4</v>
      </c>
      <c r="FT2" s="67" t="s">
        <v>5</v>
      </c>
      <c r="FU2" s="59" t="s">
        <v>1</v>
      </c>
      <c r="FV2" s="60"/>
      <c r="FW2" s="61" t="s">
        <v>2</v>
      </c>
      <c r="FX2" s="62"/>
      <c r="FY2" s="63" t="s">
        <v>3</v>
      </c>
      <c r="FZ2" s="65" t="s">
        <v>4</v>
      </c>
      <c r="GA2" s="67" t="s">
        <v>5</v>
      </c>
      <c r="GB2" s="59" t="s">
        <v>1</v>
      </c>
      <c r="GC2" s="60"/>
      <c r="GD2" s="61" t="s">
        <v>2</v>
      </c>
      <c r="GE2" s="62"/>
      <c r="GF2" s="63" t="s">
        <v>3</v>
      </c>
      <c r="GG2" s="65" t="s">
        <v>4</v>
      </c>
      <c r="GH2" s="67" t="s">
        <v>5</v>
      </c>
      <c r="GI2" s="59" t="s">
        <v>1</v>
      </c>
      <c r="GJ2" s="60"/>
      <c r="GK2" s="61" t="s">
        <v>2</v>
      </c>
      <c r="GL2" s="62"/>
      <c r="GM2" s="63" t="s">
        <v>3</v>
      </c>
      <c r="GN2" s="65" t="s">
        <v>4</v>
      </c>
      <c r="GO2" s="67" t="s">
        <v>5</v>
      </c>
      <c r="GP2" s="59" t="s">
        <v>1</v>
      </c>
      <c r="GQ2" s="60"/>
      <c r="GR2" s="61" t="s">
        <v>2</v>
      </c>
      <c r="GS2" s="62"/>
      <c r="GT2" s="63" t="s">
        <v>3</v>
      </c>
      <c r="GU2" s="65" t="s">
        <v>4</v>
      </c>
      <c r="GV2" s="67" t="s">
        <v>5</v>
      </c>
    </row>
    <row r="3" spans="1:204" s="6" customFormat="1" ht="14" x14ac:dyDescent="0.15">
      <c r="A3" s="2">
        <f ca="1">TODAY()</f>
        <v>46120</v>
      </c>
      <c r="B3" s="3" t="s">
        <v>6</v>
      </c>
      <c r="C3" s="4" t="s">
        <v>7</v>
      </c>
      <c r="D3" s="5" t="s">
        <v>6</v>
      </c>
      <c r="E3" s="5" t="s">
        <v>7</v>
      </c>
      <c r="F3" s="64"/>
      <c r="G3" s="66"/>
      <c r="H3" s="68"/>
      <c r="I3" s="3" t="s">
        <v>6</v>
      </c>
      <c r="J3" s="4" t="s">
        <v>7</v>
      </c>
      <c r="K3" s="5" t="s">
        <v>6</v>
      </c>
      <c r="L3" s="5" t="s">
        <v>7</v>
      </c>
      <c r="M3" s="64"/>
      <c r="N3" s="66"/>
      <c r="O3" s="68"/>
      <c r="P3" s="3" t="s">
        <v>6</v>
      </c>
      <c r="Q3" s="4" t="s">
        <v>7</v>
      </c>
      <c r="R3" s="5" t="s">
        <v>6</v>
      </c>
      <c r="S3" s="5" t="s">
        <v>7</v>
      </c>
      <c r="T3" s="64"/>
      <c r="U3" s="66"/>
      <c r="V3" s="68"/>
      <c r="W3" s="3" t="s">
        <v>6</v>
      </c>
      <c r="X3" s="4" t="s">
        <v>7</v>
      </c>
      <c r="Y3" s="5" t="s">
        <v>6</v>
      </c>
      <c r="Z3" s="5" t="s">
        <v>7</v>
      </c>
      <c r="AA3" s="64"/>
      <c r="AB3" s="66"/>
      <c r="AC3" s="68"/>
      <c r="AD3" s="3" t="s">
        <v>6</v>
      </c>
      <c r="AE3" s="4" t="s">
        <v>7</v>
      </c>
      <c r="AF3" s="5" t="s">
        <v>6</v>
      </c>
      <c r="AG3" s="5" t="s">
        <v>7</v>
      </c>
      <c r="AH3" s="64"/>
      <c r="AI3" s="66"/>
      <c r="AJ3" s="68"/>
      <c r="AK3" s="3" t="s">
        <v>6</v>
      </c>
      <c r="AL3" s="4" t="s">
        <v>7</v>
      </c>
      <c r="AM3" s="5" t="s">
        <v>6</v>
      </c>
      <c r="AN3" s="5" t="s">
        <v>7</v>
      </c>
      <c r="AO3" s="64"/>
      <c r="AP3" s="66"/>
      <c r="AQ3" s="68"/>
      <c r="AR3" s="3" t="s">
        <v>6</v>
      </c>
      <c r="AS3" s="4" t="s">
        <v>7</v>
      </c>
      <c r="AT3" s="5" t="s">
        <v>6</v>
      </c>
      <c r="AU3" s="5" t="s">
        <v>7</v>
      </c>
      <c r="AV3" s="64"/>
      <c r="AW3" s="66"/>
      <c r="AX3" s="68"/>
      <c r="AY3" s="3" t="s">
        <v>6</v>
      </c>
      <c r="AZ3" s="4" t="s">
        <v>7</v>
      </c>
      <c r="BA3" s="5" t="s">
        <v>6</v>
      </c>
      <c r="BB3" s="5" t="s">
        <v>7</v>
      </c>
      <c r="BC3" s="64"/>
      <c r="BD3" s="66"/>
      <c r="BE3" s="68"/>
      <c r="BF3" s="3" t="s">
        <v>6</v>
      </c>
      <c r="BG3" s="4" t="s">
        <v>7</v>
      </c>
      <c r="BH3" s="5" t="s">
        <v>6</v>
      </c>
      <c r="BI3" s="5" t="s">
        <v>7</v>
      </c>
      <c r="BJ3" s="64"/>
      <c r="BK3" s="66"/>
      <c r="BL3" s="68"/>
      <c r="BM3" s="3" t="s">
        <v>6</v>
      </c>
      <c r="BN3" s="4" t="s">
        <v>7</v>
      </c>
      <c r="BO3" s="5" t="s">
        <v>6</v>
      </c>
      <c r="BP3" s="5" t="s">
        <v>7</v>
      </c>
      <c r="BQ3" s="64"/>
      <c r="BR3" s="66"/>
      <c r="BS3" s="68"/>
      <c r="BT3" s="3" t="s">
        <v>6</v>
      </c>
      <c r="BU3" s="4" t="s">
        <v>7</v>
      </c>
      <c r="BV3" s="5" t="s">
        <v>6</v>
      </c>
      <c r="BW3" s="5" t="s">
        <v>7</v>
      </c>
      <c r="BX3" s="64"/>
      <c r="BY3" s="66"/>
      <c r="BZ3" s="68"/>
      <c r="CA3" s="3" t="s">
        <v>6</v>
      </c>
      <c r="CB3" s="4" t="s">
        <v>7</v>
      </c>
      <c r="CC3" s="5" t="s">
        <v>6</v>
      </c>
      <c r="CD3" s="5" t="s">
        <v>7</v>
      </c>
      <c r="CE3" s="64"/>
      <c r="CF3" s="66"/>
      <c r="CG3" s="68"/>
      <c r="CH3" s="3" t="s">
        <v>6</v>
      </c>
      <c r="CI3" s="4" t="s">
        <v>7</v>
      </c>
      <c r="CJ3" s="5" t="s">
        <v>6</v>
      </c>
      <c r="CK3" s="5" t="s">
        <v>7</v>
      </c>
      <c r="CL3" s="64"/>
      <c r="CM3" s="66"/>
      <c r="CN3" s="68"/>
      <c r="CO3" s="3" t="s">
        <v>6</v>
      </c>
      <c r="CP3" s="4" t="s">
        <v>7</v>
      </c>
      <c r="CQ3" s="5" t="s">
        <v>6</v>
      </c>
      <c r="CR3" s="5" t="s">
        <v>7</v>
      </c>
      <c r="CS3" s="64"/>
      <c r="CT3" s="66"/>
      <c r="CU3" s="68"/>
      <c r="CV3" s="3" t="s">
        <v>6</v>
      </c>
      <c r="CW3" s="4" t="s">
        <v>7</v>
      </c>
      <c r="CX3" s="5" t="s">
        <v>6</v>
      </c>
      <c r="CY3" s="5" t="s">
        <v>7</v>
      </c>
      <c r="CZ3" s="64"/>
      <c r="DA3" s="66"/>
      <c r="DB3" s="68"/>
      <c r="DC3" s="3" t="s">
        <v>6</v>
      </c>
      <c r="DD3" s="4" t="s">
        <v>7</v>
      </c>
      <c r="DE3" s="5" t="s">
        <v>6</v>
      </c>
      <c r="DF3" s="5" t="s">
        <v>7</v>
      </c>
      <c r="DG3" s="64"/>
      <c r="DH3" s="66"/>
      <c r="DI3" s="68"/>
      <c r="DJ3" s="3" t="s">
        <v>6</v>
      </c>
      <c r="DK3" s="4" t="s">
        <v>7</v>
      </c>
      <c r="DL3" s="5" t="s">
        <v>6</v>
      </c>
      <c r="DM3" s="5" t="s">
        <v>7</v>
      </c>
      <c r="DN3" s="64"/>
      <c r="DO3" s="66"/>
      <c r="DP3" s="68"/>
      <c r="DQ3" s="3" t="s">
        <v>6</v>
      </c>
      <c r="DR3" s="4" t="s">
        <v>7</v>
      </c>
      <c r="DS3" s="5" t="s">
        <v>6</v>
      </c>
      <c r="DT3" s="5" t="s">
        <v>7</v>
      </c>
      <c r="DU3" s="64"/>
      <c r="DV3" s="66"/>
      <c r="DW3" s="68"/>
      <c r="DX3" s="3" t="s">
        <v>6</v>
      </c>
      <c r="DY3" s="4" t="s">
        <v>7</v>
      </c>
      <c r="DZ3" s="5" t="s">
        <v>6</v>
      </c>
      <c r="EA3" s="5" t="s">
        <v>7</v>
      </c>
      <c r="EB3" s="64"/>
      <c r="EC3" s="66"/>
      <c r="ED3" s="68"/>
      <c r="EE3" s="3" t="s">
        <v>6</v>
      </c>
      <c r="EF3" s="4" t="s">
        <v>7</v>
      </c>
      <c r="EG3" s="5" t="s">
        <v>6</v>
      </c>
      <c r="EH3" s="5" t="s">
        <v>7</v>
      </c>
      <c r="EI3" s="64"/>
      <c r="EJ3" s="66"/>
      <c r="EK3" s="68"/>
      <c r="EL3" s="3" t="s">
        <v>6</v>
      </c>
      <c r="EM3" s="4" t="s">
        <v>7</v>
      </c>
      <c r="EN3" s="5" t="s">
        <v>6</v>
      </c>
      <c r="EO3" s="5" t="s">
        <v>7</v>
      </c>
      <c r="EP3" s="64"/>
      <c r="EQ3" s="66"/>
      <c r="ER3" s="68"/>
      <c r="ES3" s="3" t="s">
        <v>6</v>
      </c>
      <c r="ET3" s="4" t="s">
        <v>7</v>
      </c>
      <c r="EU3" s="5" t="s">
        <v>6</v>
      </c>
      <c r="EV3" s="5" t="s">
        <v>7</v>
      </c>
      <c r="EW3" s="64"/>
      <c r="EX3" s="66"/>
      <c r="EY3" s="68"/>
      <c r="EZ3" s="3" t="s">
        <v>6</v>
      </c>
      <c r="FA3" s="4" t="s">
        <v>7</v>
      </c>
      <c r="FB3" s="5" t="s">
        <v>6</v>
      </c>
      <c r="FC3" s="5" t="s">
        <v>7</v>
      </c>
      <c r="FD3" s="64"/>
      <c r="FE3" s="66"/>
      <c r="FF3" s="68"/>
      <c r="FG3" s="3" t="s">
        <v>6</v>
      </c>
      <c r="FH3" s="4" t="s">
        <v>7</v>
      </c>
      <c r="FI3" s="5" t="s">
        <v>6</v>
      </c>
      <c r="FJ3" s="5" t="s">
        <v>7</v>
      </c>
      <c r="FK3" s="64"/>
      <c r="FL3" s="66"/>
      <c r="FM3" s="68"/>
      <c r="FN3" s="3" t="s">
        <v>6</v>
      </c>
      <c r="FO3" s="4" t="s">
        <v>7</v>
      </c>
      <c r="FP3" s="5" t="s">
        <v>6</v>
      </c>
      <c r="FQ3" s="5" t="s">
        <v>7</v>
      </c>
      <c r="FR3" s="64"/>
      <c r="FS3" s="66"/>
      <c r="FT3" s="68"/>
      <c r="FU3" s="3" t="s">
        <v>6</v>
      </c>
      <c r="FV3" s="4" t="s">
        <v>7</v>
      </c>
      <c r="FW3" s="5" t="s">
        <v>6</v>
      </c>
      <c r="FX3" s="5" t="s">
        <v>7</v>
      </c>
      <c r="FY3" s="64"/>
      <c r="FZ3" s="66"/>
      <c r="GA3" s="68"/>
      <c r="GB3" s="3" t="s">
        <v>6</v>
      </c>
      <c r="GC3" s="4" t="s">
        <v>7</v>
      </c>
      <c r="GD3" s="5" t="s">
        <v>6</v>
      </c>
      <c r="GE3" s="5" t="s">
        <v>7</v>
      </c>
      <c r="GF3" s="64"/>
      <c r="GG3" s="66"/>
      <c r="GH3" s="68"/>
      <c r="GI3" s="3" t="s">
        <v>6</v>
      </c>
      <c r="GJ3" s="4" t="s">
        <v>7</v>
      </c>
      <c r="GK3" s="5" t="s">
        <v>6</v>
      </c>
      <c r="GL3" s="5" t="s">
        <v>7</v>
      </c>
      <c r="GM3" s="64"/>
      <c r="GN3" s="66"/>
      <c r="GO3" s="68"/>
      <c r="GP3" s="3" t="s">
        <v>6</v>
      </c>
      <c r="GQ3" s="4" t="s">
        <v>7</v>
      </c>
      <c r="GR3" s="5" t="s">
        <v>6</v>
      </c>
      <c r="GS3" s="5" t="s">
        <v>7</v>
      </c>
      <c r="GT3" s="64"/>
      <c r="GU3" s="66"/>
      <c r="GV3" s="68"/>
    </row>
    <row r="4" spans="1:204" s="14" customFormat="1" x14ac:dyDescent="0.15">
      <c r="A4" s="7">
        <v>1</v>
      </c>
      <c r="B4" s="8"/>
      <c r="C4" s="8"/>
      <c r="D4" s="9"/>
      <c r="E4" s="9"/>
      <c r="F4" s="10"/>
      <c r="G4" s="11" t="e">
        <f>((((((B4+C4)*30)/$E$50)+((D4+E4)/$E$51))+($G$35*$H$35))-(F4*$G$35))/($H$35-F4)</f>
        <v>#DIV/0!</v>
      </c>
      <c r="H4" s="12">
        <f>$H$35-F4</f>
        <v>0</v>
      </c>
      <c r="I4" s="13"/>
      <c r="J4" s="8"/>
      <c r="K4" s="9"/>
      <c r="L4" s="9"/>
      <c r="M4" s="10"/>
      <c r="N4" s="11" t="e">
        <f>((((((I4+J4)*30)/$E$50)+((K4+L4)/$E$51))+(G34*H34))-(F34*G34))/(O4)</f>
        <v>#DIV/0!</v>
      </c>
      <c r="O4" s="12">
        <f>H34-M4</f>
        <v>0</v>
      </c>
      <c r="P4" s="13"/>
      <c r="Q4" s="8"/>
      <c r="R4" s="9"/>
      <c r="S4" s="9"/>
      <c r="T4" s="10"/>
      <c r="U4" s="11" t="e">
        <f>((((((P4+Q4)*30)/$E$50)+((R4+S4)/$E$51))+(N34*O34))-(M34*N34))/(V4)</f>
        <v>#DIV/0!</v>
      </c>
      <c r="V4" s="12">
        <f>O34-T4</f>
        <v>0</v>
      </c>
      <c r="W4" s="13"/>
      <c r="X4" s="8"/>
      <c r="Y4" s="9"/>
      <c r="Z4" s="9"/>
      <c r="AA4" s="10"/>
      <c r="AB4" s="11" t="e">
        <f>((((((W4+X4)*30)/$E$50)+((Y4+Z4)/$E$51))+(U34*V34))-(T34*U34))/(AC4)</f>
        <v>#DIV/0!</v>
      </c>
      <c r="AC4" s="12">
        <f>V34-AA4</f>
        <v>0</v>
      </c>
      <c r="AD4" s="13"/>
      <c r="AE4" s="8"/>
      <c r="AF4" s="9"/>
      <c r="AG4" s="9"/>
      <c r="AH4" s="10"/>
      <c r="AI4" s="11" t="e">
        <f>((((((AD4+AE4)*30)/$E$50)+((AF4+AG4)/$E$51))+(AB34*AC34))-(AA34*AB34))/(AJ4)</f>
        <v>#DIV/0!</v>
      </c>
      <c r="AJ4" s="12">
        <f>AC34-AH4</f>
        <v>0</v>
      </c>
      <c r="AK4" s="13"/>
      <c r="AL4" s="8"/>
      <c r="AM4" s="9"/>
      <c r="AN4" s="9"/>
      <c r="AO4" s="10"/>
      <c r="AP4" s="11" t="e">
        <f>((((((AK4+AL4)*30)/$E$50)+((AM4+AN4)/$E$51))+(AI34*AJ34))-(AH34*AI34))/(AQ4)</f>
        <v>#DIV/0!</v>
      </c>
      <c r="AQ4" s="12">
        <f>AJ34-AO4</f>
        <v>0</v>
      </c>
      <c r="AR4" s="13"/>
      <c r="AS4" s="8"/>
      <c r="AT4" s="9"/>
      <c r="AU4" s="9"/>
      <c r="AV4" s="10"/>
      <c r="AW4" s="11" t="e">
        <f>((((((AR4+AS4)*30)/$E$50)+((AT4+AU4)/$E$51))+(AP34*AQ34))-(AO34*AP34))/(AX4)</f>
        <v>#DIV/0!</v>
      </c>
      <c r="AX4" s="12">
        <f>AQ34-AV4</f>
        <v>0</v>
      </c>
      <c r="AY4" s="13"/>
      <c r="AZ4" s="8"/>
      <c r="BA4" s="9"/>
      <c r="BB4" s="9"/>
      <c r="BC4" s="10"/>
      <c r="BD4" s="11" t="e">
        <f>((((((AY4+AZ4)*30)/$E$50)+((BA4+BB4)/$E$51))+(AW34*AX34))-(AV34*AW34))/(BE4)</f>
        <v>#DIV/0!</v>
      </c>
      <c r="BE4" s="12">
        <f>AX34-BC4</f>
        <v>0</v>
      </c>
      <c r="BF4" s="13"/>
      <c r="BG4" s="8"/>
      <c r="BH4" s="9"/>
      <c r="BI4" s="9"/>
      <c r="BJ4" s="10"/>
      <c r="BK4" s="11" t="e">
        <f>((((((BF4+BG4)*30)/$E$50)+((BH4+BI4)/$E$51))+(BD34*BE34))-(BC34*BD34))/(BL4)</f>
        <v>#DIV/0!</v>
      </c>
      <c r="BL4" s="12">
        <f>BE34-BJ4</f>
        <v>0</v>
      </c>
      <c r="BM4" s="13"/>
      <c r="BN4" s="8"/>
      <c r="BO4" s="9"/>
      <c r="BP4" s="9"/>
      <c r="BQ4" s="10"/>
      <c r="BR4" s="11" t="e">
        <f>((((((BM4+BN4)*30)/$E$50)+((BO4+BP4)/$E$51))+(BK34*BL34))-(BJ34*BK34))/(BS4)</f>
        <v>#DIV/0!</v>
      </c>
      <c r="BS4" s="12">
        <f>BL34-BQ4</f>
        <v>0</v>
      </c>
      <c r="BT4" s="13"/>
      <c r="BU4" s="8"/>
      <c r="BV4" s="9"/>
      <c r="BW4" s="9"/>
      <c r="BX4" s="10"/>
      <c r="BY4" s="11" t="e">
        <f>((((((BT4+BU4)*30)/$E$50)+((BV4+BW4)/$E$51))+(BR34*BS34))-(BQ34*BR34))/(BZ4)</f>
        <v>#DIV/0!</v>
      </c>
      <c r="BZ4" s="12">
        <f>BS34-BX4</f>
        <v>0</v>
      </c>
      <c r="CA4" s="13"/>
      <c r="CB4" s="8"/>
      <c r="CC4" s="9"/>
      <c r="CD4" s="9"/>
      <c r="CE4" s="10"/>
      <c r="CF4" s="11" t="e">
        <f>((((((CA4+CB4)*30)/$E$50)+((CC4+CD4)/$E$51))+(BY34*BZ34))-(BX34*BY34))/(CG4)</f>
        <v>#DIV/0!</v>
      </c>
      <c r="CG4" s="12">
        <f>BZ34-CE4</f>
        <v>0</v>
      </c>
      <c r="CH4" s="13"/>
      <c r="CI4" s="8"/>
      <c r="CJ4" s="9"/>
      <c r="CK4" s="9"/>
      <c r="CL4" s="10"/>
      <c r="CM4" s="11" t="e">
        <f>((((((CH4+CI4)*30)/$E$50)+((CJ4+CK4)/$E$51))+(CF34*CG34))-(CE34*CF34))/(CN4)</f>
        <v>#DIV/0!</v>
      </c>
      <c r="CN4" s="12">
        <f>CG34-CL4</f>
        <v>0</v>
      </c>
      <c r="CO4" s="13"/>
      <c r="CP4" s="8"/>
      <c r="CQ4" s="9"/>
      <c r="CR4" s="9"/>
      <c r="CS4" s="10"/>
      <c r="CT4" s="11" t="e">
        <f>((((((CO4+CP4)*30)/$E$50)+((CQ4+CR4)/$E$51))+(CM34*CN34))-(CL34*CM34))/(CU4)</f>
        <v>#DIV/0!</v>
      </c>
      <c r="CU4" s="12">
        <f>CN34-CS4</f>
        <v>0</v>
      </c>
      <c r="CV4" s="13"/>
      <c r="CW4" s="8"/>
      <c r="CX4" s="9"/>
      <c r="CY4" s="9"/>
      <c r="CZ4" s="10"/>
      <c r="DA4" s="11" t="e">
        <f>((((((CV4+CW4)*30)/$E$50)+((CX4+CY4)/$E$51))+(CT34*CU34))-(CS34*CT34))/(DB4)</f>
        <v>#DIV/0!</v>
      </c>
      <c r="DB4" s="12">
        <f>CU34-CZ4</f>
        <v>0</v>
      </c>
      <c r="DC4" s="13"/>
      <c r="DD4" s="8"/>
      <c r="DE4" s="9"/>
      <c r="DF4" s="9"/>
      <c r="DG4" s="10"/>
      <c r="DH4" s="11" t="e">
        <f>((((((DC4+DD4)*30)/$E$50)+((DE4+DF4)/$E$51))+(DA34*DB34))-(CZ34*DA34))/(DI4)</f>
        <v>#DIV/0!</v>
      </c>
      <c r="DI4" s="12">
        <f>DB34-DG4</f>
        <v>0</v>
      </c>
      <c r="DJ4" s="13"/>
      <c r="DK4" s="8"/>
      <c r="DL4" s="9"/>
      <c r="DM4" s="9"/>
      <c r="DN4" s="10"/>
      <c r="DO4" s="11" t="e">
        <f>((((((DJ4+DK4)*30)/$E$50)+((DL4+DM4)/$E$51))+(DH34*DI34))-(DG34*DH34))/(DP4)</f>
        <v>#DIV/0!</v>
      </c>
      <c r="DP4" s="12">
        <f>DI34-DN4</f>
        <v>0</v>
      </c>
      <c r="DQ4" s="13"/>
      <c r="DR4" s="8"/>
      <c r="DS4" s="9"/>
      <c r="DT4" s="9"/>
      <c r="DU4" s="10"/>
      <c r="DV4" s="11" t="e">
        <f>((((((DQ4+DR4)*30)/$E$50)+((DS4+DT4)/$E$51))+(DO34*DP34))-(DN34*DO34))/(DW4)</f>
        <v>#DIV/0!</v>
      </c>
      <c r="DW4" s="12">
        <f>DP34-DU4</f>
        <v>0</v>
      </c>
      <c r="DX4" s="13"/>
      <c r="DY4" s="8"/>
      <c r="DZ4" s="9"/>
      <c r="EA4" s="9"/>
      <c r="EB4" s="10"/>
      <c r="EC4" s="11" t="e">
        <f>((((((DX4+DY4)*30)/$E$50)+((DZ4+EA4)/$E$51))+(DV34*DW34))-(DU34*DV34))/(ED4)</f>
        <v>#DIV/0!</v>
      </c>
      <c r="ED4" s="12">
        <f>DW34-EB4</f>
        <v>0</v>
      </c>
      <c r="EE4" s="13"/>
      <c r="EF4" s="8"/>
      <c r="EG4" s="9"/>
      <c r="EH4" s="9"/>
      <c r="EI4" s="10"/>
      <c r="EJ4" s="11" t="e">
        <f>((((((EE4+EF4)*30)/$E$50)+((EG4+EH4)/$E$51))+(EC34*ED34))-(EB34*EC34))/(EK4)</f>
        <v>#DIV/0!</v>
      </c>
      <c r="EK4" s="12">
        <f>ED34-EI4</f>
        <v>0</v>
      </c>
      <c r="EL4" s="13"/>
      <c r="EM4" s="8"/>
      <c r="EN4" s="9"/>
      <c r="EO4" s="9"/>
      <c r="EP4" s="10"/>
      <c r="EQ4" s="11" t="e">
        <f>((((((EL4+EM4)*30)/$E$50)+((EN4+EO4)/$E$51))+(EJ34*EK34))-(EI34*EJ34))/(ER4)</f>
        <v>#DIV/0!</v>
      </c>
      <c r="ER4" s="12">
        <f>EK34-EP4</f>
        <v>0</v>
      </c>
      <c r="ES4" s="13"/>
      <c r="ET4" s="8"/>
      <c r="EU4" s="9"/>
      <c r="EV4" s="9"/>
      <c r="EW4" s="10"/>
      <c r="EX4" s="11" t="e">
        <f>((((((ES4+ET4)*30)/$E$50)+((EU4+EV4)/$E$51))+(EQ34*ER34))-(EP34*EQ34))/(EY4)</f>
        <v>#DIV/0!</v>
      </c>
      <c r="EY4" s="12">
        <f>ER34-EW4</f>
        <v>0</v>
      </c>
      <c r="EZ4" s="13"/>
      <c r="FA4" s="8"/>
      <c r="FB4" s="9"/>
      <c r="FC4" s="9"/>
      <c r="FD4" s="10"/>
      <c r="FE4" s="11" t="e">
        <f>((((((EZ4+FA4)*30)/$E$50)+((FB4+FC4)/$E$51))+(EX34*EY34))-(EW34*EX34))/(FF4)</f>
        <v>#DIV/0!</v>
      </c>
      <c r="FF4" s="12">
        <f>EY34-FD4</f>
        <v>0</v>
      </c>
      <c r="FG4" s="13"/>
      <c r="FH4" s="8"/>
      <c r="FI4" s="9"/>
      <c r="FJ4" s="9"/>
      <c r="FK4" s="10"/>
      <c r="FL4" s="11" t="e">
        <f>((((((FG4+FH4)*30)/$E$50)+((FI4+FJ4)/$E$51))+(FE34*FF34))-(FD34*FE34))/(FM4)</f>
        <v>#DIV/0!</v>
      </c>
      <c r="FM4" s="12">
        <f>FF34-FK4</f>
        <v>0</v>
      </c>
      <c r="FN4" s="13"/>
      <c r="FO4" s="8"/>
      <c r="FP4" s="9"/>
      <c r="FQ4" s="9"/>
      <c r="FR4" s="10"/>
      <c r="FS4" s="11" t="e">
        <f>((((((FN4+FO4)*30)/$E$50)+((FP4+FQ4)/$E$51))+(FL34*FM34))-(FK34*FL34))/(FT4)</f>
        <v>#DIV/0!</v>
      </c>
      <c r="FT4" s="12">
        <f>FM34-FR4</f>
        <v>0</v>
      </c>
      <c r="FU4" s="13"/>
      <c r="FV4" s="8"/>
      <c r="FW4" s="9"/>
      <c r="FX4" s="9"/>
      <c r="FY4" s="10"/>
      <c r="FZ4" s="11" t="e">
        <f>((((((FU4+FV4)*30)/$E$50)+((FW4+FX4)/$E$51))+(FS34*FT34))-(FR34*FS34))/(GA4)</f>
        <v>#DIV/0!</v>
      </c>
      <c r="GA4" s="12">
        <f>FT34-FY4</f>
        <v>0</v>
      </c>
      <c r="GB4" s="13"/>
      <c r="GC4" s="8"/>
      <c r="GD4" s="9"/>
      <c r="GE4" s="9"/>
      <c r="GF4" s="10"/>
      <c r="GG4" s="11" t="e">
        <f>((((((GB4+GC4)*30)/$E$50)+((GD4+GE4)/$E$51))+(FZ34*GA34))-(FY34*FZ34))/(GH4)</f>
        <v>#DIV/0!</v>
      </c>
      <c r="GH4" s="12">
        <f>GA34-GF4</f>
        <v>0</v>
      </c>
      <c r="GI4" s="13"/>
      <c r="GJ4" s="8"/>
      <c r="GK4" s="9"/>
      <c r="GL4" s="9"/>
      <c r="GM4" s="10"/>
      <c r="GN4" s="11" t="e">
        <f>((((((GI4+GJ4)*30)/$E$50)+((GK4+GL4)/$E$51))+(GG34*GH34))-(GF34*GG34))/(GO4)</f>
        <v>#DIV/0!</v>
      </c>
      <c r="GO4" s="12">
        <f>GH34-GM4</f>
        <v>0</v>
      </c>
      <c r="GP4" s="13"/>
      <c r="GQ4" s="8"/>
      <c r="GR4" s="9"/>
      <c r="GS4" s="9"/>
      <c r="GT4" s="10"/>
      <c r="GU4" s="11" t="e">
        <f>((((((GP4+GQ4)*30)/$E$50)+((GR4+GS4)/$E$51))+(GN34*GO34))-(GM34*GN34))/(GV4)</f>
        <v>#DIV/0!</v>
      </c>
      <c r="GV4" s="12">
        <f>GO34-GT4</f>
        <v>0</v>
      </c>
    </row>
    <row r="5" spans="1:204" s="19" customFormat="1" x14ac:dyDescent="0.15">
      <c r="A5" s="15">
        <v>2</v>
      </c>
      <c r="B5" s="16"/>
      <c r="C5" s="16"/>
      <c r="D5" s="17"/>
      <c r="E5" s="17"/>
      <c r="F5" s="18"/>
      <c r="G5" s="11" t="e">
        <f>((((((B5+C5)*30)/$E$50)+((D5+E5)/$E$51))+(G4*H4))-(F5*G4))/(H5)</f>
        <v>#DIV/0!</v>
      </c>
      <c r="H5" s="12">
        <f t="shared" ref="H5:H34" si="0">H4-F5</f>
        <v>0</v>
      </c>
      <c r="I5" s="13"/>
      <c r="J5" s="8"/>
      <c r="K5" s="9"/>
      <c r="L5" s="9"/>
      <c r="M5" s="18"/>
      <c r="N5" s="11" t="e">
        <f>((((((I5+J5)*30)/$E$50)+((K5+L5)/$E$51))+(N4*O4))-(M5*N4))/(O5)</f>
        <v>#DIV/0!</v>
      </c>
      <c r="O5" s="12">
        <f>O4-M5</f>
        <v>0</v>
      </c>
      <c r="P5" s="13"/>
      <c r="Q5" s="8"/>
      <c r="R5" s="9"/>
      <c r="S5" s="9"/>
      <c r="T5" s="18"/>
      <c r="U5" s="11" t="e">
        <f>((((((P5+Q5)*30)/$E$50)+((R5+S5)/$E$51))+(U4*V4))-(T5*U4))/(V5)</f>
        <v>#DIV/0!</v>
      </c>
      <c r="V5" s="12">
        <f>V4-T5</f>
        <v>0</v>
      </c>
      <c r="W5" s="13"/>
      <c r="X5" s="8"/>
      <c r="Y5" s="9"/>
      <c r="Z5" s="9"/>
      <c r="AA5" s="18"/>
      <c r="AB5" s="11" t="e">
        <f>((((((W5+X5)*30)/$E$50)+((Y5+Z5)/$E$51))+(AB4*AC4))-(AA5*AB4))/(AC5)</f>
        <v>#DIV/0!</v>
      </c>
      <c r="AC5" s="12">
        <f>AC4-AA5</f>
        <v>0</v>
      </c>
      <c r="AD5" s="13"/>
      <c r="AE5" s="8"/>
      <c r="AF5" s="9"/>
      <c r="AG5" s="9"/>
      <c r="AH5" s="18"/>
      <c r="AI5" s="11" t="e">
        <f>((((((AD5+AE5)*30)/$E$50)+((AF5+AG5)/$E$51))+(AI4*AJ4))-(AH5*AI4))/(AJ5)</f>
        <v>#DIV/0!</v>
      </c>
      <c r="AJ5" s="12">
        <f>AJ4-AH5</f>
        <v>0</v>
      </c>
      <c r="AK5" s="13"/>
      <c r="AL5" s="8"/>
      <c r="AM5" s="9"/>
      <c r="AN5" s="9"/>
      <c r="AO5" s="18"/>
      <c r="AP5" s="11" t="e">
        <f>((((((AK5+AL5)*30)/$E$50)+((AM5+AN5)/$E$51))+(AP4*AQ4))-(AO5*AP4))/(AQ5)</f>
        <v>#DIV/0!</v>
      </c>
      <c r="AQ5" s="12">
        <f>AQ4-AO5</f>
        <v>0</v>
      </c>
      <c r="AR5" s="13"/>
      <c r="AS5" s="8"/>
      <c r="AT5" s="9"/>
      <c r="AU5" s="9"/>
      <c r="AV5" s="18"/>
      <c r="AW5" s="11" t="e">
        <f>((((((AR5+AS5)*30)/$E$50)+((AT5+AU5)/$E$51))+(AW4*AX4))-(AV5*AW4))/(AX5)</f>
        <v>#DIV/0!</v>
      </c>
      <c r="AX5" s="12">
        <f>AX4-AV5</f>
        <v>0</v>
      </c>
      <c r="AY5" s="13"/>
      <c r="AZ5" s="8"/>
      <c r="BA5" s="9"/>
      <c r="BB5" s="9"/>
      <c r="BC5" s="18"/>
      <c r="BD5" s="11" t="e">
        <f>((((((AY5+AZ5)*30)/$E$50)+((BA5+BB5)/$E$51))+(BD4*BE4))-(BC5*BD4))/(BE5)</f>
        <v>#DIV/0!</v>
      </c>
      <c r="BE5" s="12">
        <f>BE4-BC5</f>
        <v>0</v>
      </c>
      <c r="BF5" s="13"/>
      <c r="BG5" s="8"/>
      <c r="BH5" s="9"/>
      <c r="BI5" s="9"/>
      <c r="BJ5" s="18"/>
      <c r="BK5" s="11" t="e">
        <f>((((((BF5+BG5)*30)/$E$50)+((BH5+BI5)/$E$51))+(BK4*BL4))-(BJ5*BK4))/(BL5)</f>
        <v>#DIV/0!</v>
      </c>
      <c r="BL5" s="12">
        <f>BL4-BJ5</f>
        <v>0</v>
      </c>
      <c r="BM5" s="13"/>
      <c r="BN5" s="8"/>
      <c r="BO5" s="9"/>
      <c r="BP5" s="9"/>
      <c r="BQ5" s="18"/>
      <c r="BR5" s="11" t="e">
        <f>((((((BM5+BN5)*30)/$E$50)+((BO5+BP5)/$E$51))+(BR4*BS4))-(BQ5*BR4))/(BS5)</f>
        <v>#DIV/0!</v>
      </c>
      <c r="BS5" s="12">
        <f>BS4-BQ5</f>
        <v>0</v>
      </c>
      <c r="BT5" s="13"/>
      <c r="BU5" s="8"/>
      <c r="BV5" s="9"/>
      <c r="BW5" s="9"/>
      <c r="BX5" s="18"/>
      <c r="BY5" s="11" t="e">
        <f>((((((BT5+BU5)*30)/$E$50)+((BV5+BW5)/$E$51))+(BY4*BZ4))-(BX5*BY4))/(BZ5)</f>
        <v>#DIV/0!</v>
      </c>
      <c r="BZ5" s="12">
        <f>BZ4-BX5</f>
        <v>0</v>
      </c>
      <c r="CA5" s="13"/>
      <c r="CB5" s="8"/>
      <c r="CC5" s="9"/>
      <c r="CD5" s="9"/>
      <c r="CE5" s="18"/>
      <c r="CF5" s="11" t="e">
        <f>((((((CA5+CB5)*30)/$E$50)+((CC5+CD5)/$E$51))+(CF4*CG4))-(CE5*CF4))/(CG5)</f>
        <v>#DIV/0!</v>
      </c>
      <c r="CG5" s="12">
        <f>CG4-CE5</f>
        <v>0</v>
      </c>
      <c r="CH5" s="13"/>
      <c r="CI5" s="8"/>
      <c r="CJ5" s="9"/>
      <c r="CK5" s="9"/>
      <c r="CL5" s="18"/>
      <c r="CM5" s="11" t="e">
        <f>((((((CH5+CI5)*30)/$E$50)+((CJ5+CK5)/$E$51))+(CM4*CN4))-(CL5*CM4))/(CN5)</f>
        <v>#DIV/0!</v>
      </c>
      <c r="CN5" s="12">
        <f>CN4-CL5</f>
        <v>0</v>
      </c>
      <c r="CO5" s="13"/>
      <c r="CP5" s="8"/>
      <c r="CQ5" s="9"/>
      <c r="CR5" s="9"/>
      <c r="CS5" s="18"/>
      <c r="CT5" s="11" t="e">
        <f>((((((CO5+CP5)*30)/$E$50)+((CQ5+CR5)/$E$51))+(CT4*CU4))-(CS5*CT4))/(CU5)</f>
        <v>#DIV/0!</v>
      </c>
      <c r="CU5" s="12">
        <f>CU4-CS5</f>
        <v>0</v>
      </c>
      <c r="CV5" s="13"/>
      <c r="CW5" s="8"/>
      <c r="CX5" s="9"/>
      <c r="CY5" s="9"/>
      <c r="CZ5" s="18"/>
      <c r="DA5" s="11" t="e">
        <f>((((((CV5+CW5)*30)/$E$50)+((CX5+CY5)/$E$51))+(DA4*DB4))-(CZ5*DA4))/(DB5)</f>
        <v>#DIV/0!</v>
      </c>
      <c r="DB5" s="12">
        <f>DB4-CZ5</f>
        <v>0</v>
      </c>
      <c r="DC5" s="13"/>
      <c r="DD5" s="8"/>
      <c r="DE5" s="9"/>
      <c r="DF5" s="9"/>
      <c r="DG5" s="18"/>
      <c r="DH5" s="11" t="e">
        <f>((((((DC5+DD5)*30)/$E$50)+((DE5+DF5)/$E$51))+(DH4*DI4))-(DG5*DH4))/(DI5)</f>
        <v>#DIV/0!</v>
      </c>
      <c r="DI5" s="12">
        <f>DI4-DG5</f>
        <v>0</v>
      </c>
      <c r="DJ5" s="13"/>
      <c r="DK5" s="8"/>
      <c r="DL5" s="9"/>
      <c r="DM5" s="9"/>
      <c r="DN5" s="18"/>
      <c r="DO5" s="11" t="e">
        <f>((((((DJ5+DK5)*30)/$E$50)+((DL5+DM5)/$E$51))+(DO4*DP4))-(DN5*DO4))/(DP5)</f>
        <v>#DIV/0!</v>
      </c>
      <c r="DP5" s="12">
        <f>DP4-DN5</f>
        <v>0</v>
      </c>
      <c r="DQ5" s="13"/>
      <c r="DR5" s="8"/>
      <c r="DS5" s="9"/>
      <c r="DT5" s="9"/>
      <c r="DU5" s="18"/>
      <c r="DV5" s="11" t="e">
        <f>((((((DQ5+DR5)*30)/$E$50)+((DS5+DT5)/$E$51))+(DV4*DW4))-(DU5*DV4))/(DW5)</f>
        <v>#DIV/0!</v>
      </c>
      <c r="DW5" s="12">
        <f>DW4-DU5</f>
        <v>0</v>
      </c>
      <c r="DX5" s="13"/>
      <c r="DY5" s="8"/>
      <c r="DZ5" s="9"/>
      <c r="EA5" s="9"/>
      <c r="EB5" s="18"/>
      <c r="EC5" s="11" t="e">
        <f>((((((DX5+DY5)*30)/$E$50)+((DZ5+EA5)/$E$51))+(EC4*ED4))-(EB5*EC4))/(ED5)</f>
        <v>#DIV/0!</v>
      </c>
      <c r="ED5" s="12">
        <f>ED4-EB5</f>
        <v>0</v>
      </c>
      <c r="EE5" s="13"/>
      <c r="EF5" s="8"/>
      <c r="EG5" s="9"/>
      <c r="EH5" s="9"/>
      <c r="EI5" s="18"/>
      <c r="EJ5" s="11" t="e">
        <f>((((((EE5+EF5)*30)/$E$50)+((EG5+EH5)/$E$51))+(EJ4*EK4))-(EI5*EJ4))/(EK5)</f>
        <v>#DIV/0!</v>
      </c>
      <c r="EK5" s="12">
        <f>EK4-EI5</f>
        <v>0</v>
      </c>
      <c r="EL5" s="13"/>
      <c r="EM5" s="8"/>
      <c r="EN5" s="9"/>
      <c r="EO5" s="9"/>
      <c r="EP5" s="18"/>
      <c r="EQ5" s="11" t="e">
        <f>((((((EL5+EM5)*30)/$E$50)+((EN5+EO5)/$E$51))+(EQ4*ER4))-(EP5*EQ4))/(ER5)</f>
        <v>#DIV/0!</v>
      </c>
      <c r="ER5" s="12">
        <f>ER4-EP5</f>
        <v>0</v>
      </c>
      <c r="ES5" s="13"/>
      <c r="ET5" s="8"/>
      <c r="EU5" s="9"/>
      <c r="EV5" s="9"/>
      <c r="EW5" s="18"/>
      <c r="EX5" s="11" t="e">
        <f>((((((ES5+ET5)*30)/$E$50)+((EU5+EV5)/$E$51))+(EX4*EY4))-(EW5*EX4))/(EY5)</f>
        <v>#DIV/0!</v>
      </c>
      <c r="EY5" s="12">
        <f>EY4-EW5</f>
        <v>0</v>
      </c>
      <c r="EZ5" s="13"/>
      <c r="FA5" s="8"/>
      <c r="FB5" s="9"/>
      <c r="FC5" s="9"/>
      <c r="FD5" s="18"/>
      <c r="FE5" s="11" t="e">
        <f>((((((EZ5+FA5)*30)/$E$50)+((FB5+FC5)/$E$51))+(FE4*FF4))-(FD5*FE4))/(FF5)</f>
        <v>#DIV/0!</v>
      </c>
      <c r="FF5" s="12">
        <f>FF4-FD5</f>
        <v>0</v>
      </c>
      <c r="FG5" s="13"/>
      <c r="FH5" s="8"/>
      <c r="FI5" s="9"/>
      <c r="FJ5" s="9"/>
      <c r="FK5" s="18"/>
      <c r="FL5" s="11" t="e">
        <f>((((((FG5+FH5)*30)/$E$50)+((FI5+FJ5)/$E$51))+(FL4*FM4))-(FK5*FL4))/(FM5)</f>
        <v>#DIV/0!</v>
      </c>
      <c r="FM5" s="12">
        <f>FM4-FK5</f>
        <v>0</v>
      </c>
      <c r="FN5" s="13"/>
      <c r="FO5" s="8"/>
      <c r="FP5" s="9"/>
      <c r="FQ5" s="9"/>
      <c r="FR5" s="18"/>
      <c r="FS5" s="11" t="e">
        <f>((((((FN5+FO5)*30)/$E$50)+((FP5+FQ5)/$E$51))+(FS4*FT4))-(FR5*FS4))/(FT5)</f>
        <v>#DIV/0!</v>
      </c>
      <c r="FT5" s="12">
        <f>FT4-FR5</f>
        <v>0</v>
      </c>
      <c r="FU5" s="13"/>
      <c r="FV5" s="8"/>
      <c r="FW5" s="9"/>
      <c r="FX5" s="9"/>
      <c r="FY5" s="18"/>
      <c r="FZ5" s="11" t="e">
        <f>((((((FU5+FV5)*30)/$E$50)+((FW5+FX5)/$E$51))+(FZ4*GA4))-(FY5*FZ4))/(GA5)</f>
        <v>#DIV/0!</v>
      </c>
      <c r="GA5" s="12">
        <f>GA4-FY5</f>
        <v>0</v>
      </c>
      <c r="GB5" s="13"/>
      <c r="GC5" s="8"/>
      <c r="GD5" s="9"/>
      <c r="GE5" s="9"/>
      <c r="GF5" s="18"/>
      <c r="GG5" s="11" t="e">
        <f>((((((GB5+GC5)*30)/$E$50)+((GD5+GE5)/$E$51))+(GG4*GH4))-(GF5*GG4))/(GH5)</f>
        <v>#DIV/0!</v>
      </c>
      <c r="GH5" s="12">
        <f>GH4-GF5</f>
        <v>0</v>
      </c>
      <c r="GI5" s="13"/>
      <c r="GJ5" s="8"/>
      <c r="GK5" s="9"/>
      <c r="GL5" s="9"/>
      <c r="GM5" s="18"/>
      <c r="GN5" s="11" t="e">
        <f>((((((GI5+GJ5)*30)/$E$50)+((GK5+GL5)/$E$51))+(GN4*GO4))-(GM5*GN4))/(GO5)</f>
        <v>#DIV/0!</v>
      </c>
      <c r="GO5" s="12">
        <f>GO4-GM5</f>
        <v>0</v>
      </c>
      <c r="GP5" s="13"/>
      <c r="GQ5" s="8"/>
      <c r="GR5" s="9"/>
      <c r="GS5" s="9"/>
      <c r="GT5" s="18"/>
      <c r="GU5" s="11" t="e">
        <f>((((((GP5+GQ5)*30)/$E$50)+((GR5+GS5)/$E$51))+(GU4*GV4))-(GT5*GU4))/(GV5)</f>
        <v>#DIV/0!</v>
      </c>
      <c r="GV5" s="12">
        <f>GV4-GT5</f>
        <v>0</v>
      </c>
    </row>
    <row r="6" spans="1:204" s="19" customFormat="1" x14ac:dyDescent="0.15">
      <c r="A6" s="15">
        <v>3</v>
      </c>
      <c r="B6" s="16"/>
      <c r="C6" s="16"/>
      <c r="D6" s="17"/>
      <c r="E6" s="17"/>
      <c r="F6" s="18"/>
      <c r="G6" s="11" t="e">
        <f>((((((B6+C6)*30)/$E$50)+((D6+E6)/$E$51))+(G5*H5))-(F6*G5))/H5</f>
        <v>#DIV/0!</v>
      </c>
      <c r="H6" s="12">
        <f t="shared" si="0"/>
        <v>0</v>
      </c>
      <c r="I6" s="20"/>
      <c r="J6" s="16"/>
      <c r="K6" s="17"/>
      <c r="L6" s="17"/>
      <c r="M6" s="18"/>
      <c r="N6" s="11" t="e">
        <f t="shared" ref="N6:N34" si="1">((((((I6+J6)*30)/$E$50)+((K6+L6)/$E$51))+(N5*O5))-(M6*N5))/(O6)</f>
        <v>#DIV/0!</v>
      </c>
      <c r="O6" s="12">
        <f t="shared" ref="O6:O34" si="2">O5-M6</f>
        <v>0</v>
      </c>
      <c r="P6" s="20"/>
      <c r="Q6" s="16"/>
      <c r="R6" s="17"/>
      <c r="S6" s="17"/>
      <c r="T6" s="18"/>
      <c r="U6" s="11" t="e">
        <f t="shared" ref="U6:U34" si="3">((((((P6+Q6)*30)/$E$50)+((R6+S6)/$E$51))+(U5*V5))-(T6*U5))/(V6)</f>
        <v>#DIV/0!</v>
      </c>
      <c r="V6" s="12">
        <f t="shared" ref="V6:V34" si="4">V5-T6</f>
        <v>0</v>
      </c>
      <c r="W6" s="20"/>
      <c r="X6" s="16"/>
      <c r="Y6" s="17"/>
      <c r="Z6" s="17"/>
      <c r="AA6" s="18"/>
      <c r="AB6" s="11" t="e">
        <f t="shared" ref="AB6:AB34" si="5">((((((W6+X6)*30)/$E$50)+((Y6+Z6)/$E$51))+(AB5*AC5))-(AA6*AB5))/(AC6)</f>
        <v>#DIV/0!</v>
      </c>
      <c r="AC6" s="12">
        <f t="shared" ref="AC6:AC34" si="6">AC5-AA6</f>
        <v>0</v>
      </c>
      <c r="AD6" s="20"/>
      <c r="AE6" s="16"/>
      <c r="AF6" s="17"/>
      <c r="AG6" s="17"/>
      <c r="AH6" s="18"/>
      <c r="AI6" s="11" t="e">
        <f t="shared" ref="AI6:AI34" si="7">((((((AD6+AE6)*30)/$E$50)+((AF6+AG6)/$E$51))+(AI5*AJ5))-(AH6*AI5))/(AJ6)</f>
        <v>#DIV/0!</v>
      </c>
      <c r="AJ6" s="12">
        <f t="shared" ref="AJ6:AJ34" si="8">AJ5-AH6</f>
        <v>0</v>
      </c>
      <c r="AK6" s="20"/>
      <c r="AL6" s="16"/>
      <c r="AM6" s="17"/>
      <c r="AN6" s="17"/>
      <c r="AO6" s="18"/>
      <c r="AP6" s="11" t="e">
        <f t="shared" ref="AP6:AP34" si="9">((((((AK6+AL6)*30)/$E$50)+((AM6+AN6)/$E$51))+(AP5*AQ5))-(AO6*AP5))/(AQ6)</f>
        <v>#DIV/0!</v>
      </c>
      <c r="AQ6" s="12">
        <f t="shared" ref="AQ6:AQ34" si="10">AQ5-AO6</f>
        <v>0</v>
      </c>
      <c r="AR6" s="20"/>
      <c r="AS6" s="16"/>
      <c r="AT6" s="17"/>
      <c r="AU6" s="17"/>
      <c r="AV6" s="18"/>
      <c r="AW6" s="11" t="e">
        <f t="shared" ref="AW6:AW34" si="11">((((((AR6+AS6)*30)/$E$50)+((AT6+AU6)/$E$51))+(AW5*AX5))-(AV6*AW5))/(AX6)</f>
        <v>#DIV/0!</v>
      </c>
      <c r="AX6" s="12">
        <f t="shared" ref="AX6:AX34" si="12">AX5-AV6</f>
        <v>0</v>
      </c>
      <c r="AY6" s="20"/>
      <c r="AZ6" s="16"/>
      <c r="BA6" s="17"/>
      <c r="BB6" s="17"/>
      <c r="BC6" s="18"/>
      <c r="BD6" s="11" t="e">
        <f t="shared" ref="BD6:BD34" si="13">((((((AY6+AZ6)*30)/$E$50)+((BA6+BB6)/$E$51))+(BD5*BE5))-(BC6*BD5))/(BE6)</f>
        <v>#DIV/0!</v>
      </c>
      <c r="BE6" s="12">
        <f t="shared" ref="BE6:BE34" si="14">BE5-BC6</f>
        <v>0</v>
      </c>
      <c r="BF6" s="20"/>
      <c r="BG6" s="16"/>
      <c r="BH6" s="17"/>
      <c r="BI6" s="17"/>
      <c r="BJ6" s="18"/>
      <c r="BK6" s="11" t="e">
        <f t="shared" ref="BK6:BK34" si="15">((((((BF6+BG6)*30)/$E$50)+((BH6+BI6)/$E$51))+(BK5*BL5))-(BJ6*BK5))/(BL6)</f>
        <v>#DIV/0!</v>
      </c>
      <c r="BL6" s="12">
        <f t="shared" ref="BL6:BL34" si="16">BL5-BJ6</f>
        <v>0</v>
      </c>
      <c r="BM6" s="20"/>
      <c r="BN6" s="16"/>
      <c r="BO6" s="17"/>
      <c r="BP6" s="17"/>
      <c r="BQ6" s="18"/>
      <c r="BR6" s="11" t="e">
        <f t="shared" ref="BR6:BR34" si="17">((((((BM6+BN6)*30)/$E$50)+((BO6+BP6)/$E$51))+(BR5*BS5))-(BQ6*BR5))/(BS6)</f>
        <v>#DIV/0!</v>
      </c>
      <c r="BS6" s="12">
        <f t="shared" ref="BS6:BS34" si="18">BS5-BQ6</f>
        <v>0</v>
      </c>
      <c r="BT6" s="20"/>
      <c r="BU6" s="16"/>
      <c r="BV6" s="17"/>
      <c r="BW6" s="17"/>
      <c r="BX6" s="18"/>
      <c r="BY6" s="11" t="e">
        <f t="shared" ref="BY6:BY34" si="19">((((((BT6+BU6)*30)/$E$50)+((BV6+BW6)/$E$51))+(BY5*BZ5))-(BX6*BY5))/(BZ6)</f>
        <v>#DIV/0!</v>
      </c>
      <c r="BZ6" s="12">
        <f t="shared" ref="BZ6:BZ34" si="20">BZ5-BX6</f>
        <v>0</v>
      </c>
      <c r="CA6" s="20"/>
      <c r="CB6" s="16"/>
      <c r="CC6" s="17"/>
      <c r="CD6" s="17"/>
      <c r="CE6" s="18"/>
      <c r="CF6" s="11" t="e">
        <f t="shared" ref="CF6:CF34" si="21">((((((CA6+CB6)*30)/$E$50)+((CC6+CD6)/$E$51))+(CF5*CG5))-(CE6*CF5))/(CG6)</f>
        <v>#DIV/0!</v>
      </c>
      <c r="CG6" s="12">
        <f t="shared" ref="CG6:CG34" si="22">CG5-CE6</f>
        <v>0</v>
      </c>
      <c r="CH6" s="20"/>
      <c r="CI6" s="16"/>
      <c r="CJ6" s="17"/>
      <c r="CK6" s="17"/>
      <c r="CL6" s="18"/>
      <c r="CM6" s="11" t="e">
        <f t="shared" ref="CM6:CM34" si="23">((((((CH6+CI6)*30)/$E$50)+((CJ6+CK6)/$E$51))+(CM5*CN5))-(CL6*CM5))/(CN6)</f>
        <v>#DIV/0!</v>
      </c>
      <c r="CN6" s="12">
        <f t="shared" ref="CN6:CN34" si="24">CN5-CL6</f>
        <v>0</v>
      </c>
      <c r="CO6" s="20"/>
      <c r="CP6" s="16"/>
      <c r="CQ6" s="17"/>
      <c r="CR6" s="17"/>
      <c r="CS6" s="18"/>
      <c r="CT6" s="11" t="e">
        <f t="shared" ref="CT6:CT34" si="25">((((((CO6+CP6)*30)/$E$50)+((CQ6+CR6)/$E$51))+(CT5*CU5))-(CS6*CT5))/(CU6)</f>
        <v>#DIV/0!</v>
      </c>
      <c r="CU6" s="12">
        <f t="shared" ref="CU6:CU34" si="26">CU5-CS6</f>
        <v>0</v>
      </c>
      <c r="CV6" s="20"/>
      <c r="CW6" s="16"/>
      <c r="CX6" s="17"/>
      <c r="CY6" s="17"/>
      <c r="CZ6" s="18"/>
      <c r="DA6" s="11" t="e">
        <f t="shared" ref="DA6:DA34" si="27">((((((CV6+CW6)*30)/$E$50)+((CX6+CY6)/$E$51))+(DA5*DB5))-(CZ6*DA5))/(DB6)</f>
        <v>#DIV/0!</v>
      </c>
      <c r="DB6" s="12">
        <f t="shared" ref="DB6:DB34" si="28">DB5-CZ6</f>
        <v>0</v>
      </c>
      <c r="DC6" s="20"/>
      <c r="DD6" s="16"/>
      <c r="DE6" s="17"/>
      <c r="DF6" s="17"/>
      <c r="DG6" s="18"/>
      <c r="DH6" s="11" t="e">
        <f t="shared" ref="DH6:DH34" si="29">((((((DC6+DD6)*30)/$E$50)+((DE6+DF6)/$E$51))+(DH5*DI5))-(DG6*DH5))/(DI6)</f>
        <v>#DIV/0!</v>
      </c>
      <c r="DI6" s="12">
        <f t="shared" ref="DI6:DI34" si="30">DI5-DG6</f>
        <v>0</v>
      </c>
      <c r="DJ6" s="20"/>
      <c r="DK6" s="16"/>
      <c r="DL6" s="17"/>
      <c r="DM6" s="17"/>
      <c r="DN6" s="18"/>
      <c r="DO6" s="11" t="e">
        <f t="shared" ref="DO6:DO34" si="31">((((((DJ6+DK6)*30)/$E$50)+((DL6+DM6)/$E$51))+(DO5*DP5))-(DN6*DO5))/(DP6)</f>
        <v>#DIV/0!</v>
      </c>
      <c r="DP6" s="12">
        <f t="shared" ref="DP6:DP34" si="32">DP5-DN6</f>
        <v>0</v>
      </c>
      <c r="DQ6" s="20"/>
      <c r="DR6" s="16"/>
      <c r="DS6" s="17"/>
      <c r="DT6" s="17"/>
      <c r="DU6" s="18"/>
      <c r="DV6" s="11" t="e">
        <f t="shared" ref="DV6:DV34" si="33">((((((DQ6+DR6)*30)/$E$50)+((DS6+DT6)/$E$51))+(DV5*DW5))-(DU6*DV5))/(DW6)</f>
        <v>#DIV/0!</v>
      </c>
      <c r="DW6" s="12">
        <f t="shared" ref="DW6:DW34" si="34">DW5-DU6</f>
        <v>0</v>
      </c>
      <c r="DX6" s="13"/>
      <c r="DY6" s="16"/>
      <c r="DZ6" s="17"/>
      <c r="EA6" s="17"/>
      <c r="EB6" s="18"/>
      <c r="EC6" s="11" t="e">
        <f t="shared" ref="EC6:EC34" si="35">((((((DX6+DY6)*30)/$E$50)+((DZ6+EA6)/$E$51))+(EC5*ED5))-(EB6*EC5))/(ED6)</f>
        <v>#DIV/0!</v>
      </c>
      <c r="ED6" s="12">
        <f t="shared" ref="ED6:ED34" si="36">ED5-EB6</f>
        <v>0</v>
      </c>
      <c r="EE6" s="20"/>
      <c r="EF6" s="16"/>
      <c r="EG6" s="17"/>
      <c r="EH6" s="17"/>
      <c r="EI6" s="18"/>
      <c r="EJ6" s="11" t="e">
        <f t="shared" ref="EJ6:EJ34" si="37">((((((EE6+EF6)*30)/$E$50)+((EG6+EH6)/$E$51))+(EJ5*EK5))-(EI6*EJ5))/(EK6)</f>
        <v>#DIV/0!</v>
      </c>
      <c r="EK6" s="12">
        <f t="shared" ref="EK6:EK34" si="38">EK5-EI6</f>
        <v>0</v>
      </c>
      <c r="EL6" s="20"/>
      <c r="EM6" s="16"/>
      <c r="EN6" s="17"/>
      <c r="EO6" s="17"/>
      <c r="EP6" s="18"/>
      <c r="EQ6" s="11" t="e">
        <f t="shared" ref="EQ6:EQ34" si="39">((((((EL6+EM6)*30)/$E$50)+((EN6+EO6)/$E$51))+(EQ5*ER5))-(EP6*EQ5))/(ER6)</f>
        <v>#DIV/0!</v>
      </c>
      <c r="ER6" s="12">
        <f t="shared" ref="ER6:ER34" si="40">ER5-EP6</f>
        <v>0</v>
      </c>
      <c r="ES6" s="20"/>
      <c r="ET6" s="16"/>
      <c r="EU6" s="17"/>
      <c r="EV6" s="17"/>
      <c r="EW6" s="18"/>
      <c r="EX6" s="11" t="e">
        <f t="shared" ref="EX6:EX34" si="41">((((((ES6+ET6)*30)/$E$50)+((EU6+EV6)/$E$51))+(EX5*EY5))-(EW6*EX5))/(EY6)</f>
        <v>#DIV/0!</v>
      </c>
      <c r="EY6" s="12">
        <f t="shared" ref="EY6:EY34" si="42">EY5-EW6</f>
        <v>0</v>
      </c>
      <c r="EZ6" s="20"/>
      <c r="FA6" s="16"/>
      <c r="FB6" s="17"/>
      <c r="FC6" s="17"/>
      <c r="FD6" s="18"/>
      <c r="FE6" s="11" t="e">
        <f t="shared" ref="FE6:FE34" si="43">((((((EZ6+FA6)*30)/$E$50)+((FB6+FC6)/$E$51))+(FE5*FF5))-(FD6*FE5))/(FF6)</f>
        <v>#DIV/0!</v>
      </c>
      <c r="FF6" s="12">
        <f t="shared" ref="FF6:FF34" si="44">FF5-FD6</f>
        <v>0</v>
      </c>
      <c r="FG6" s="20"/>
      <c r="FH6" s="16"/>
      <c r="FI6" s="17"/>
      <c r="FJ6" s="17"/>
      <c r="FK6" s="18"/>
      <c r="FL6" s="11" t="e">
        <f t="shared" ref="FL6:FL34" si="45">((((((FG6+FH6)*30)/$E$50)+((FI6+FJ6)/$E$51))+(FL5*FM5))-(FK6*FL5))/(FM6)</f>
        <v>#DIV/0!</v>
      </c>
      <c r="FM6" s="12">
        <f t="shared" ref="FM6:FM34" si="46">FM5-FK6</f>
        <v>0</v>
      </c>
      <c r="FN6" s="20"/>
      <c r="FO6" s="16"/>
      <c r="FP6" s="17"/>
      <c r="FQ6" s="17"/>
      <c r="FR6" s="18"/>
      <c r="FS6" s="11" t="e">
        <f t="shared" ref="FS6:FS34" si="47">((((((FN6+FO6)*30)/$E$50)+((FP6+FQ6)/$E$51))+(FS5*FT5))-(FR6*FS5))/(FT6)</f>
        <v>#DIV/0!</v>
      </c>
      <c r="FT6" s="12">
        <f t="shared" ref="FT6:FT34" si="48">FT5-FR6</f>
        <v>0</v>
      </c>
      <c r="FU6" s="20"/>
      <c r="FV6" s="16"/>
      <c r="FW6" s="17"/>
      <c r="FX6" s="17"/>
      <c r="FY6" s="18"/>
      <c r="FZ6" s="11" t="e">
        <f t="shared" ref="FZ6:FZ34" si="49">((((((FU6+FV6)*30)/$E$50)+((FW6+FX6)/$E$51))+(FZ5*GA5))-(FY6*FZ5))/(GA6)</f>
        <v>#DIV/0!</v>
      </c>
      <c r="GA6" s="12">
        <f t="shared" ref="GA6:GA34" si="50">GA5-FY6</f>
        <v>0</v>
      </c>
      <c r="GB6" s="20"/>
      <c r="GC6" s="16"/>
      <c r="GD6" s="17"/>
      <c r="GE6" s="17"/>
      <c r="GF6" s="18"/>
      <c r="GG6" s="11" t="e">
        <f t="shared" ref="GG6:GG34" si="51">((((((GB6+GC6)*30)/$E$50)+((GD6+GE6)/$E$51))+(GG5*GH5))-(GF6*GG5))/(GH6)</f>
        <v>#DIV/0!</v>
      </c>
      <c r="GH6" s="12">
        <f t="shared" ref="GH6:GH34" si="52">GH5-GF6</f>
        <v>0</v>
      </c>
      <c r="GI6" s="20"/>
      <c r="GJ6" s="16"/>
      <c r="GK6" s="17"/>
      <c r="GL6" s="17"/>
      <c r="GM6" s="18"/>
      <c r="GN6" s="11" t="e">
        <f t="shared" ref="GN6:GN34" si="53">((((((GI6+GJ6)*30)/$E$50)+((GK6+GL6)/$E$51))+(GN5*GO5))-(GM6*GN5))/(GO6)</f>
        <v>#DIV/0!</v>
      </c>
      <c r="GO6" s="12">
        <f t="shared" ref="GO6:GO34" si="54">GO5-GM6</f>
        <v>0</v>
      </c>
      <c r="GP6" s="20"/>
      <c r="GQ6" s="16"/>
      <c r="GR6" s="17"/>
      <c r="GS6" s="17"/>
      <c r="GT6" s="18"/>
      <c r="GU6" s="11" t="e">
        <f t="shared" ref="GU6:GU34" si="55">((((((GP6+GQ6)*30)/$E$50)+((GR6+GS6)/$E$51))+(GU5*GV5))-(GT6*GU5))/(GV6)</f>
        <v>#DIV/0!</v>
      </c>
      <c r="GV6" s="12">
        <f t="shared" ref="GV6:GV34" si="56">GV5-GT6</f>
        <v>0</v>
      </c>
    </row>
    <row r="7" spans="1:204" s="19" customFormat="1" x14ac:dyDescent="0.15">
      <c r="A7" s="15">
        <v>4</v>
      </c>
      <c r="B7" s="16"/>
      <c r="C7" s="16"/>
      <c r="D7" s="17"/>
      <c r="E7" s="17"/>
      <c r="F7" s="18"/>
      <c r="G7" s="11" t="e">
        <f t="shared" ref="G7:G34" si="57">((((((B7+C7)*30)/$E$50)+((D7+E7)/$E$51))+(G6*H6))-(F7*G6))/(H7)</f>
        <v>#DIV/0!</v>
      </c>
      <c r="H7" s="12">
        <f t="shared" si="0"/>
        <v>0</v>
      </c>
      <c r="I7" s="20"/>
      <c r="J7" s="16"/>
      <c r="K7" s="17"/>
      <c r="L7" s="17"/>
      <c r="M7" s="18"/>
      <c r="N7" s="11" t="e">
        <f t="shared" si="1"/>
        <v>#DIV/0!</v>
      </c>
      <c r="O7" s="12">
        <f t="shared" si="2"/>
        <v>0</v>
      </c>
      <c r="P7" s="20"/>
      <c r="Q7" s="16"/>
      <c r="R7" s="17"/>
      <c r="S7" s="17"/>
      <c r="T7" s="18"/>
      <c r="U7" s="11" t="e">
        <f t="shared" si="3"/>
        <v>#DIV/0!</v>
      </c>
      <c r="V7" s="12">
        <f t="shared" si="4"/>
        <v>0</v>
      </c>
      <c r="W7" s="20"/>
      <c r="X7" s="16"/>
      <c r="Y7" s="17"/>
      <c r="Z7" s="17"/>
      <c r="AA7" s="18"/>
      <c r="AB7" s="11" t="e">
        <f t="shared" si="5"/>
        <v>#DIV/0!</v>
      </c>
      <c r="AC7" s="12">
        <f t="shared" si="6"/>
        <v>0</v>
      </c>
      <c r="AD7" s="20"/>
      <c r="AE7" s="16"/>
      <c r="AF7" s="17"/>
      <c r="AG7" s="17"/>
      <c r="AH7" s="18"/>
      <c r="AI7" s="11" t="e">
        <f t="shared" si="7"/>
        <v>#DIV/0!</v>
      </c>
      <c r="AJ7" s="12">
        <f t="shared" si="8"/>
        <v>0</v>
      </c>
      <c r="AK7" s="20"/>
      <c r="AL7" s="16"/>
      <c r="AM7" s="17"/>
      <c r="AN7" s="17"/>
      <c r="AO7" s="18"/>
      <c r="AP7" s="11" t="e">
        <f t="shared" si="9"/>
        <v>#DIV/0!</v>
      </c>
      <c r="AQ7" s="12">
        <f t="shared" si="10"/>
        <v>0</v>
      </c>
      <c r="AR7" s="20"/>
      <c r="AS7" s="16"/>
      <c r="AT7" s="17"/>
      <c r="AU7" s="17"/>
      <c r="AV7" s="18"/>
      <c r="AW7" s="11" t="e">
        <f t="shared" si="11"/>
        <v>#DIV/0!</v>
      </c>
      <c r="AX7" s="12">
        <f t="shared" si="12"/>
        <v>0</v>
      </c>
      <c r="AY7" s="20"/>
      <c r="AZ7" s="16"/>
      <c r="BA7" s="17"/>
      <c r="BB7" s="17"/>
      <c r="BC7" s="18"/>
      <c r="BD7" s="11" t="e">
        <f t="shared" si="13"/>
        <v>#DIV/0!</v>
      </c>
      <c r="BE7" s="12">
        <f t="shared" si="14"/>
        <v>0</v>
      </c>
      <c r="BF7" s="20"/>
      <c r="BG7" s="16"/>
      <c r="BH7" s="17"/>
      <c r="BI7" s="17"/>
      <c r="BJ7" s="18"/>
      <c r="BK7" s="11" t="e">
        <f t="shared" si="15"/>
        <v>#DIV/0!</v>
      </c>
      <c r="BL7" s="12">
        <f t="shared" si="16"/>
        <v>0</v>
      </c>
      <c r="BM7" s="20"/>
      <c r="BN7" s="16"/>
      <c r="BO7" s="17"/>
      <c r="BP7" s="17"/>
      <c r="BQ7" s="18"/>
      <c r="BR7" s="11" t="e">
        <f t="shared" si="17"/>
        <v>#DIV/0!</v>
      </c>
      <c r="BS7" s="12">
        <f t="shared" si="18"/>
        <v>0</v>
      </c>
      <c r="BT7" s="20"/>
      <c r="BU7" s="16"/>
      <c r="BV7" s="17"/>
      <c r="BW7" s="17"/>
      <c r="BX7" s="18"/>
      <c r="BY7" s="11" t="e">
        <f t="shared" si="19"/>
        <v>#DIV/0!</v>
      </c>
      <c r="BZ7" s="12">
        <f t="shared" si="20"/>
        <v>0</v>
      </c>
      <c r="CA7" s="20"/>
      <c r="CB7" s="16"/>
      <c r="CC7" s="17"/>
      <c r="CD7" s="17"/>
      <c r="CE7" s="18"/>
      <c r="CF7" s="11" t="e">
        <f t="shared" si="21"/>
        <v>#DIV/0!</v>
      </c>
      <c r="CG7" s="12">
        <f t="shared" si="22"/>
        <v>0</v>
      </c>
      <c r="CH7" s="20"/>
      <c r="CI7" s="16"/>
      <c r="CJ7" s="17"/>
      <c r="CK7" s="17"/>
      <c r="CL7" s="18"/>
      <c r="CM7" s="11" t="e">
        <f t="shared" si="23"/>
        <v>#DIV/0!</v>
      </c>
      <c r="CN7" s="12">
        <f t="shared" si="24"/>
        <v>0</v>
      </c>
      <c r="CO7" s="20"/>
      <c r="CP7" s="16"/>
      <c r="CQ7" s="17"/>
      <c r="CR7" s="17"/>
      <c r="CS7" s="18"/>
      <c r="CT7" s="11" t="e">
        <f t="shared" si="25"/>
        <v>#DIV/0!</v>
      </c>
      <c r="CU7" s="12">
        <f t="shared" si="26"/>
        <v>0</v>
      </c>
      <c r="CV7" s="20"/>
      <c r="CW7" s="16"/>
      <c r="CX7" s="17"/>
      <c r="CY7" s="17"/>
      <c r="CZ7" s="18"/>
      <c r="DA7" s="11" t="e">
        <f t="shared" si="27"/>
        <v>#DIV/0!</v>
      </c>
      <c r="DB7" s="12">
        <f t="shared" si="28"/>
        <v>0</v>
      </c>
      <c r="DC7" s="20"/>
      <c r="DD7" s="16"/>
      <c r="DE7" s="17"/>
      <c r="DF7" s="17"/>
      <c r="DG7" s="18"/>
      <c r="DH7" s="11" t="e">
        <f t="shared" si="29"/>
        <v>#DIV/0!</v>
      </c>
      <c r="DI7" s="12">
        <f t="shared" si="30"/>
        <v>0</v>
      </c>
      <c r="DJ7" s="20"/>
      <c r="DK7" s="16"/>
      <c r="DL7" s="17"/>
      <c r="DM7" s="17"/>
      <c r="DN7" s="18"/>
      <c r="DO7" s="11" t="e">
        <f t="shared" si="31"/>
        <v>#DIV/0!</v>
      </c>
      <c r="DP7" s="12">
        <f t="shared" si="32"/>
        <v>0</v>
      </c>
      <c r="DQ7" s="20"/>
      <c r="DR7" s="16"/>
      <c r="DS7" s="17"/>
      <c r="DT7" s="17"/>
      <c r="DU7" s="18"/>
      <c r="DV7" s="11" t="e">
        <f t="shared" si="33"/>
        <v>#DIV/0!</v>
      </c>
      <c r="DW7" s="12">
        <f t="shared" si="34"/>
        <v>0</v>
      </c>
      <c r="DX7" s="20"/>
      <c r="DY7" s="16"/>
      <c r="DZ7" s="17"/>
      <c r="EA7" s="17"/>
      <c r="EB7" s="18"/>
      <c r="EC7" s="11" t="e">
        <f t="shared" si="35"/>
        <v>#DIV/0!</v>
      </c>
      <c r="ED7" s="12">
        <f t="shared" si="36"/>
        <v>0</v>
      </c>
      <c r="EE7" s="20"/>
      <c r="EF7" s="16"/>
      <c r="EG7" s="17"/>
      <c r="EH7" s="17"/>
      <c r="EI7" s="18"/>
      <c r="EJ7" s="11" t="e">
        <f t="shared" si="37"/>
        <v>#DIV/0!</v>
      </c>
      <c r="EK7" s="12">
        <f t="shared" si="38"/>
        <v>0</v>
      </c>
      <c r="EL7" s="20"/>
      <c r="EM7" s="16"/>
      <c r="EN7" s="17"/>
      <c r="EO7" s="17"/>
      <c r="EP7" s="18"/>
      <c r="EQ7" s="11" t="e">
        <f t="shared" si="39"/>
        <v>#DIV/0!</v>
      </c>
      <c r="ER7" s="12">
        <f t="shared" si="40"/>
        <v>0</v>
      </c>
      <c r="ES7" s="20"/>
      <c r="ET7" s="16"/>
      <c r="EU7" s="17"/>
      <c r="EV7" s="17"/>
      <c r="EW7" s="18"/>
      <c r="EX7" s="11" t="e">
        <f t="shared" si="41"/>
        <v>#DIV/0!</v>
      </c>
      <c r="EY7" s="12">
        <f t="shared" si="42"/>
        <v>0</v>
      </c>
      <c r="EZ7" s="20"/>
      <c r="FA7" s="16"/>
      <c r="FB7" s="17"/>
      <c r="FC7" s="17"/>
      <c r="FD7" s="18"/>
      <c r="FE7" s="11" t="e">
        <f t="shared" si="43"/>
        <v>#DIV/0!</v>
      </c>
      <c r="FF7" s="12">
        <f t="shared" si="44"/>
        <v>0</v>
      </c>
      <c r="FG7" s="20"/>
      <c r="FH7" s="16"/>
      <c r="FI7" s="17"/>
      <c r="FJ7" s="17"/>
      <c r="FK7" s="18"/>
      <c r="FL7" s="11" t="e">
        <f t="shared" si="45"/>
        <v>#DIV/0!</v>
      </c>
      <c r="FM7" s="12">
        <f t="shared" si="46"/>
        <v>0</v>
      </c>
      <c r="FN7" s="20"/>
      <c r="FO7" s="16"/>
      <c r="FP7" s="17"/>
      <c r="FQ7" s="17"/>
      <c r="FR7" s="18"/>
      <c r="FS7" s="11" t="e">
        <f t="shared" si="47"/>
        <v>#DIV/0!</v>
      </c>
      <c r="FT7" s="12">
        <f t="shared" si="48"/>
        <v>0</v>
      </c>
      <c r="FU7" s="20"/>
      <c r="FV7" s="16"/>
      <c r="FW7" s="17"/>
      <c r="FX7" s="17"/>
      <c r="FY7" s="18"/>
      <c r="FZ7" s="11" t="e">
        <f t="shared" si="49"/>
        <v>#DIV/0!</v>
      </c>
      <c r="GA7" s="12">
        <f t="shared" si="50"/>
        <v>0</v>
      </c>
      <c r="GB7" s="20"/>
      <c r="GC7" s="16"/>
      <c r="GD7" s="17"/>
      <c r="GE7" s="17"/>
      <c r="GF7" s="18"/>
      <c r="GG7" s="11" t="e">
        <f t="shared" si="51"/>
        <v>#DIV/0!</v>
      </c>
      <c r="GH7" s="12">
        <f t="shared" si="52"/>
        <v>0</v>
      </c>
      <c r="GI7" s="20"/>
      <c r="GJ7" s="16"/>
      <c r="GK7" s="17"/>
      <c r="GL7" s="17"/>
      <c r="GM7" s="18"/>
      <c r="GN7" s="11" t="e">
        <f t="shared" si="53"/>
        <v>#DIV/0!</v>
      </c>
      <c r="GO7" s="12">
        <f t="shared" si="54"/>
        <v>0</v>
      </c>
      <c r="GP7" s="20"/>
      <c r="GQ7" s="16"/>
      <c r="GR7" s="17"/>
      <c r="GS7" s="17"/>
      <c r="GT7" s="18"/>
      <c r="GU7" s="11" t="e">
        <f t="shared" si="55"/>
        <v>#DIV/0!</v>
      </c>
      <c r="GV7" s="12">
        <f t="shared" si="56"/>
        <v>0</v>
      </c>
    </row>
    <row r="8" spans="1:204" s="19" customFormat="1" x14ac:dyDescent="0.15">
      <c r="A8" s="15">
        <v>5</v>
      </c>
      <c r="B8" s="16">
        <v>1</v>
      </c>
      <c r="C8" s="16">
        <v>1</v>
      </c>
      <c r="D8" s="17"/>
      <c r="E8" s="17"/>
      <c r="F8" s="18"/>
      <c r="G8" s="11" t="e">
        <f t="shared" si="57"/>
        <v>#DIV/0!</v>
      </c>
      <c r="H8" s="12">
        <f t="shared" si="0"/>
        <v>0</v>
      </c>
      <c r="I8" s="20"/>
      <c r="J8" s="16"/>
      <c r="K8" s="17"/>
      <c r="L8" s="17"/>
      <c r="M8" s="18"/>
      <c r="N8" s="11" t="e">
        <f t="shared" si="1"/>
        <v>#DIV/0!</v>
      </c>
      <c r="O8" s="12">
        <f t="shared" si="2"/>
        <v>0</v>
      </c>
      <c r="P8" s="20"/>
      <c r="Q8" s="16"/>
      <c r="R8" s="17"/>
      <c r="S8" s="17"/>
      <c r="T8" s="18"/>
      <c r="U8" s="11" t="e">
        <f t="shared" si="3"/>
        <v>#DIV/0!</v>
      </c>
      <c r="V8" s="12">
        <f t="shared" si="4"/>
        <v>0</v>
      </c>
      <c r="W8" s="20"/>
      <c r="X8" s="16"/>
      <c r="Y8" s="17"/>
      <c r="Z8" s="17"/>
      <c r="AA8" s="18"/>
      <c r="AB8" s="11" t="e">
        <f t="shared" si="5"/>
        <v>#DIV/0!</v>
      </c>
      <c r="AC8" s="12">
        <f t="shared" si="6"/>
        <v>0</v>
      </c>
      <c r="AD8" s="20"/>
      <c r="AE8" s="16"/>
      <c r="AF8" s="17"/>
      <c r="AG8" s="17"/>
      <c r="AH8" s="18"/>
      <c r="AI8" s="11" t="e">
        <f t="shared" si="7"/>
        <v>#DIV/0!</v>
      </c>
      <c r="AJ8" s="12">
        <f t="shared" si="8"/>
        <v>0</v>
      </c>
      <c r="AK8" s="20"/>
      <c r="AL8" s="16"/>
      <c r="AM8" s="17"/>
      <c r="AN8" s="17"/>
      <c r="AO8" s="18"/>
      <c r="AP8" s="11" t="e">
        <f t="shared" si="9"/>
        <v>#DIV/0!</v>
      </c>
      <c r="AQ8" s="12">
        <f t="shared" si="10"/>
        <v>0</v>
      </c>
      <c r="AR8" s="20"/>
      <c r="AS8" s="16"/>
      <c r="AT8" s="17"/>
      <c r="AU8" s="17"/>
      <c r="AV8" s="18"/>
      <c r="AW8" s="11" t="e">
        <f t="shared" si="11"/>
        <v>#DIV/0!</v>
      </c>
      <c r="AX8" s="12">
        <f t="shared" si="12"/>
        <v>0</v>
      </c>
      <c r="AY8" s="20"/>
      <c r="AZ8" s="16"/>
      <c r="BA8" s="17"/>
      <c r="BB8" s="17"/>
      <c r="BC8" s="18"/>
      <c r="BD8" s="11" t="e">
        <f t="shared" si="13"/>
        <v>#DIV/0!</v>
      </c>
      <c r="BE8" s="12">
        <f t="shared" si="14"/>
        <v>0</v>
      </c>
      <c r="BF8" s="20"/>
      <c r="BG8" s="16"/>
      <c r="BH8" s="17"/>
      <c r="BI8" s="17"/>
      <c r="BJ8" s="18"/>
      <c r="BK8" s="11" t="e">
        <f t="shared" si="15"/>
        <v>#DIV/0!</v>
      </c>
      <c r="BL8" s="12">
        <f t="shared" si="16"/>
        <v>0</v>
      </c>
      <c r="BM8" s="20"/>
      <c r="BN8" s="16"/>
      <c r="BO8" s="17"/>
      <c r="BP8" s="17"/>
      <c r="BQ8" s="18"/>
      <c r="BR8" s="11" t="e">
        <f t="shared" si="17"/>
        <v>#DIV/0!</v>
      </c>
      <c r="BS8" s="12">
        <f t="shared" si="18"/>
        <v>0</v>
      </c>
      <c r="BT8" s="20"/>
      <c r="BU8" s="16"/>
      <c r="BV8" s="17"/>
      <c r="BW8" s="17"/>
      <c r="BX8" s="18"/>
      <c r="BY8" s="11" t="e">
        <f t="shared" si="19"/>
        <v>#DIV/0!</v>
      </c>
      <c r="BZ8" s="12">
        <f t="shared" si="20"/>
        <v>0</v>
      </c>
      <c r="CA8" s="20"/>
      <c r="CB8" s="16"/>
      <c r="CC8" s="17"/>
      <c r="CD8" s="17"/>
      <c r="CE8" s="18"/>
      <c r="CF8" s="11" t="e">
        <f t="shared" si="21"/>
        <v>#DIV/0!</v>
      </c>
      <c r="CG8" s="12">
        <f t="shared" si="22"/>
        <v>0</v>
      </c>
      <c r="CH8" s="20"/>
      <c r="CI8" s="16"/>
      <c r="CJ8" s="17"/>
      <c r="CK8" s="17"/>
      <c r="CL8" s="18"/>
      <c r="CM8" s="11" t="e">
        <f t="shared" si="23"/>
        <v>#DIV/0!</v>
      </c>
      <c r="CN8" s="12">
        <f t="shared" si="24"/>
        <v>0</v>
      </c>
      <c r="CO8" s="20"/>
      <c r="CP8" s="16"/>
      <c r="CQ8" s="17"/>
      <c r="CR8" s="17"/>
      <c r="CS8" s="18"/>
      <c r="CT8" s="11" t="e">
        <f t="shared" si="25"/>
        <v>#DIV/0!</v>
      </c>
      <c r="CU8" s="12">
        <f t="shared" si="26"/>
        <v>0</v>
      </c>
      <c r="CV8" s="20"/>
      <c r="CW8" s="16"/>
      <c r="CX8" s="17"/>
      <c r="CY8" s="17"/>
      <c r="CZ8" s="18"/>
      <c r="DA8" s="11" t="e">
        <f t="shared" si="27"/>
        <v>#DIV/0!</v>
      </c>
      <c r="DB8" s="12">
        <f t="shared" si="28"/>
        <v>0</v>
      </c>
      <c r="DC8" s="20"/>
      <c r="DD8" s="16"/>
      <c r="DE8" s="17"/>
      <c r="DF8" s="17"/>
      <c r="DG8" s="18"/>
      <c r="DH8" s="11" t="e">
        <f t="shared" si="29"/>
        <v>#DIV/0!</v>
      </c>
      <c r="DI8" s="12">
        <f t="shared" si="30"/>
        <v>0</v>
      </c>
      <c r="DJ8" s="20"/>
      <c r="DK8" s="16"/>
      <c r="DL8" s="17"/>
      <c r="DM8" s="17"/>
      <c r="DN8" s="18"/>
      <c r="DO8" s="11" t="e">
        <f t="shared" si="31"/>
        <v>#DIV/0!</v>
      </c>
      <c r="DP8" s="12">
        <f t="shared" si="32"/>
        <v>0</v>
      </c>
      <c r="DQ8" s="20"/>
      <c r="DR8" s="16"/>
      <c r="DS8" s="17"/>
      <c r="DT8" s="17"/>
      <c r="DU8" s="18"/>
      <c r="DV8" s="11" t="e">
        <f t="shared" si="33"/>
        <v>#DIV/0!</v>
      </c>
      <c r="DW8" s="12">
        <f t="shared" si="34"/>
        <v>0</v>
      </c>
      <c r="DX8" s="20"/>
      <c r="DY8" s="16"/>
      <c r="DZ8" s="17"/>
      <c r="EA8" s="17"/>
      <c r="EB8" s="18"/>
      <c r="EC8" s="11" t="e">
        <f t="shared" si="35"/>
        <v>#DIV/0!</v>
      </c>
      <c r="ED8" s="12">
        <f t="shared" si="36"/>
        <v>0</v>
      </c>
      <c r="EE8" s="20"/>
      <c r="EF8" s="16"/>
      <c r="EG8" s="17"/>
      <c r="EH8" s="17"/>
      <c r="EI8" s="18"/>
      <c r="EJ8" s="11" t="e">
        <f t="shared" si="37"/>
        <v>#DIV/0!</v>
      </c>
      <c r="EK8" s="12">
        <f t="shared" si="38"/>
        <v>0</v>
      </c>
      <c r="EL8" s="20"/>
      <c r="EM8" s="16"/>
      <c r="EN8" s="17"/>
      <c r="EO8" s="17"/>
      <c r="EP8" s="18"/>
      <c r="EQ8" s="11" t="e">
        <f t="shared" si="39"/>
        <v>#DIV/0!</v>
      </c>
      <c r="ER8" s="12">
        <f t="shared" si="40"/>
        <v>0</v>
      </c>
      <c r="ES8" s="20"/>
      <c r="ET8" s="16"/>
      <c r="EU8" s="17"/>
      <c r="EV8" s="17"/>
      <c r="EW8" s="18"/>
      <c r="EX8" s="11" t="e">
        <f t="shared" si="41"/>
        <v>#DIV/0!</v>
      </c>
      <c r="EY8" s="12">
        <f t="shared" si="42"/>
        <v>0</v>
      </c>
      <c r="EZ8" s="20"/>
      <c r="FA8" s="16"/>
      <c r="FB8" s="17"/>
      <c r="FC8" s="17"/>
      <c r="FD8" s="18"/>
      <c r="FE8" s="11" t="e">
        <f t="shared" si="43"/>
        <v>#DIV/0!</v>
      </c>
      <c r="FF8" s="12">
        <f t="shared" si="44"/>
        <v>0</v>
      </c>
      <c r="FG8" s="20"/>
      <c r="FH8" s="16"/>
      <c r="FI8" s="17"/>
      <c r="FJ8" s="17"/>
      <c r="FK8" s="18"/>
      <c r="FL8" s="11" t="e">
        <f t="shared" si="45"/>
        <v>#DIV/0!</v>
      </c>
      <c r="FM8" s="12">
        <f t="shared" si="46"/>
        <v>0</v>
      </c>
      <c r="FN8" s="20"/>
      <c r="FO8" s="16"/>
      <c r="FP8" s="17"/>
      <c r="FQ8" s="17"/>
      <c r="FR8" s="18"/>
      <c r="FS8" s="11" t="e">
        <f t="shared" si="47"/>
        <v>#DIV/0!</v>
      </c>
      <c r="FT8" s="12">
        <f t="shared" si="48"/>
        <v>0</v>
      </c>
      <c r="FU8" s="20"/>
      <c r="FV8" s="16"/>
      <c r="FW8" s="17"/>
      <c r="FX8" s="17"/>
      <c r="FY8" s="18"/>
      <c r="FZ8" s="11" t="e">
        <f t="shared" si="49"/>
        <v>#DIV/0!</v>
      </c>
      <c r="GA8" s="12">
        <f t="shared" si="50"/>
        <v>0</v>
      </c>
      <c r="GB8" s="20"/>
      <c r="GC8" s="16"/>
      <c r="GD8" s="17"/>
      <c r="GE8" s="17"/>
      <c r="GF8" s="18"/>
      <c r="GG8" s="11" t="e">
        <f t="shared" si="51"/>
        <v>#DIV/0!</v>
      </c>
      <c r="GH8" s="12">
        <f t="shared" si="52"/>
        <v>0</v>
      </c>
      <c r="GI8" s="20"/>
      <c r="GJ8" s="16"/>
      <c r="GK8" s="17"/>
      <c r="GL8" s="17"/>
      <c r="GM8" s="18"/>
      <c r="GN8" s="11" t="e">
        <f t="shared" si="53"/>
        <v>#DIV/0!</v>
      </c>
      <c r="GO8" s="12">
        <f t="shared" si="54"/>
        <v>0</v>
      </c>
      <c r="GP8" s="20"/>
      <c r="GQ8" s="16"/>
      <c r="GR8" s="17"/>
      <c r="GS8" s="17"/>
      <c r="GT8" s="18"/>
      <c r="GU8" s="11" t="e">
        <f>((((((GP8+GQ8)*30)/$E$50)+((GR8+GS8)/$E$51))+(GU7*GV7))-(GT8*GU7))/(GV8)</f>
        <v>#DIV/0!</v>
      </c>
      <c r="GV8" s="12">
        <f t="shared" si="56"/>
        <v>0</v>
      </c>
    </row>
    <row r="9" spans="1:204" s="19" customFormat="1" x14ac:dyDescent="0.15">
      <c r="A9" s="15">
        <v>6</v>
      </c>
      <c r="B9" s="16"/>
      <c r="C9" s="16"/>
      <c r="D9" s="17">
        <v>1</v>
      </c>
      <c r="E9" s="17"/>
      <c r="F9" s="18"/>
      <c r="G9" s="11" t="e">
        <f t="shared" si="57"/>
        <v>#DIV/0!</v>
      </c>
      <c r="H9" s="12">
        <f t="shared" si="0"/>
        <v>0</v>
      </c>
      <c r="I9" s="20"/>
      <c r="J9" s="16"/>
      <c r="K9" s="17"/>
      <c r="L9" s="17"/>
      <c r="M9" s="18"/>
      <c r="N9" s="11" t="e">
        <f t="shared" si="1"/>
        <v>#DIV/0!</v>
      </c>
      <c r="O9" s="12">
        <f t="shared" si="2"/>
        <v>0</v>
      </c>
      <c r="P9" s="20"/>
      <c r="Q9" s="16"/>
      <c r="R9" s="17"/>
      <c r="S9" s="17"/>
      <c r="T9" s="18"/>
      <c r="U9" s="11" t="e">
        <f t="shared" si="3"/>
        <v>#DIV/0!</v>
      </c>
      <c r="V9" s="12">
        <f t="shared" si="4"/>
        <v>0</v>
      </c>
      <c r="W9" s="20"/>
      <c r="X9" s="16"/>
      <c r="Y9" s="17"/>
      <c r="Z9" s="17"/>
      <c r="AA9" s="18"/>
      <c r="AB9" s="11" t="e">
        <f t="shared" si="5"/>
        <v>#DIV/0!</v>
      </c>
      <c r="AC9" s="12">
        <f t="shared" si="6"/>
        <v>0</v>
      </c>
      <c r="AD9" s="20"/>
      <c r="AE9" s="16"/>
      <c r="AF9" s="17"/>
      <c r="AG9" s="17"/>
      <c r="AH9" s="18"/>
      <c r="AI9" s="11" t="e">
        <f t="shared" si="7"/>
        <v>#DIV/0!</v>
      </c>
      <c r="AJ9" s="12">
        <f t="shared" si="8"/>
        <v>0</v>
      </c>
      <c r="AK9" s="20"/>
      <c r="AL9" s="16"/>
      <c r="AM9" s="17"/>
      <c r="AN9" s="17"/>
      <c r="AO9" s="18"/>
      <c r="AP9" s="11" t="e">
        <f t="shared" si="9"/>
        <v>#DIV/0!</v>
      </c>
      <c r="AQ9" s="12">
        <f t="shared" si="10"/>
        <v>0</v>
      </c>
      <c r="AR9" s="20"/>
      <c r="AS9" s="16"/>
      <c r="AT9" s="17"/>
      <c r="AU9" s="17"/>
      <c r="AV9" s="18"/>
      <c r="AW9" s="11" t="e">
        <f t="shared" si="11"/>
        <v>#DIV/0!</v>
      </c>
      <c r="AX9" s="12">
        <f t="shared" si="12"/>
        <v>0</v>
      </c>
      <c r="AY9" s="20"/>
      <c r="AZ9" s="16"/>
      <c r="BA9" s="17"/>
      <c r="BB9" s="17"/>
      <c r="BC9" s="18"/>
      <c r="BD9" s="11" t="e">
        <f t="shared" si="13"/>
        <v>#DIV/0!</v>
      </c>
      <c r="BE9" s="12">
        <f t="shared" si="14"/>
        <v>0</v>
      </c>
      <c r="BF9" s="20"/>
      <c r="BG9" s="16"/>
      <c r="BH9" s="17"/>
      <c r="BI9" s="17"/>
      <c r="BJ9" s="18"/>
      <c r="BK9" s="11" t="e">
        <f t="shared" si="15"/>
        <v>#DIV/0!</v>
      </c>
      <c r="BL9" s="12">
        <f t="shared" si="16"/>
        <v>0</v>
      </c>
      <c r="BM9" s="20"/>
      <c r="BN9" s="16"/>
      <c r="BO9" s="17"/>
      <c r="BP9" s="17"/>
      <c r="BQ9" s="18"/>
      <c r="BR9" s="11" t="e">
        <f t="shared" si="17"/>
        <v>#DIV/0!</v>
      </c>
      <c r="BS9" s="12">
        <f t="shared" si="18"/>
        <v>0</v>
      </c>
      <c r="BT9" s="20"/>
      <c r="BU9" s="16"/>
      <c r="BV9" s="17"/>
      <c r="BW9" s="17"/>
      <c r="BX9" s="18"/>
      <c r="BY9" s="11" t="e">
        <f t="shared" si="19"/>
        <v>#DIV/0!</v>
      </c>
      <c r="BZ9" s="12">
        <f t="shared" si="20"/>
        <v>0</v>
      </c>
      <c r="CA9" s="20"/>
      <c r="CB9" s="16"/>
      <c r="CC9" s="17"/>
      <c r="CD9" s="17"/>
      <c r="CE9" s="18"/>
      <c r="CF9" s="11" t="e">
        <f t="shared" si="21"/>
        <v>#DIV/0!</v>
      </c>
      <c r="CG9" s="12">
        <f t="shared" si="22"/>
        <v>0</v>
      </c>
      <c r="CH9" s="20"/>
      <c r="CI9" s="16"/>
      <c r="CJ9" s="17"/>
      <c r="CK9" s="17"/>
      <c r="CL9" s="18"/>
      <c r="CM9" s="11" t="e">
        <f t="shared" si="23"/>
        <v>#DIV/0!</v>
      </c>
      <c r="CN9" s="12">
        <f t="shared" si="24"/>
        <v>0</v>
      </c>
      <c r="CO9" s="20"/>
      <c r="CP9" s="16"/>
      <c r="CQ9" s="17"/>
      <c r="CR9" s="17"/>
      <c r="CS9" s="18"/>
      <c r="CT9" s="11" t="e">
        <f t="shared" si="25"/>
        <v>#DIV/0!</v>
      </c>
      <c r="CU9" s="12">
        <f t="shared" si="26"/>
        <v>0</v>
      </c>
      <c r="CV9" s="20"/>
      <c r="CW9" s="16"/>
      <c r="CX9" s="17"/>
      <c r="CY9" s="17"/>
      <c r="CZ9" s="18"/>
      <c r="DA9" s="11" t="e">
        <f t="shared" si="27"/>
        <v>#DIV/0!</v>
      </c>
      <c r="DB9" s="12">
        <f t="shared" si="28"/>
        <v>0</v>
      </c>
      <c r="DC9" s="20"/>
      <c r="DD9" s="16"/>
      <c r="DE9" s="17"/>
      <c r="DF9" s="17"/>
      <c r="DG9" s="18"/>
      <c r="DH9" s="11" t="e">
        <f t="shared" si="29"/>
        <v>#DIV/0!</v>
      </c>
      <c r="DI9" s="12">
        <f t="shared" si="30"/>
        <v>0</v>
      </c>
      <c r="DJ9" s="20"/>
      <c r="DK9" s="16"/>
      <c r="DL9" s="17"/>
      <c r="DM9" s="17"/>
      <c r="DN9" s="18"/>
      <c r="DO9" s="11" t="e">
        <f t="shared" si="31"/>
        <v>#DIV/0!</v>
      </c>
      <c r="DP9" s="12">
        <f t="shared" si="32"/>
        <v>0</v>
      </c>
      <c r="DQ9" s="20"/>
      <c r="DR9" s="16"/>
      <c r="DS9" s="17"/>
      <c r="DT9" s="17"/>
      <c r="DU9" s="18"/>
      <c r="DV9" s="11" t="e">
        <f t="shared" si="33"/>
        <v>#DIV/0!</v>
      </c>
      <c r="DW9" s="12">
        <f t="shared" si="34"/>
        <v>0</v>
      </c>
      <c r="DX9" s="20"/>
      <c r="DY9" s="16"/>
      <c r="DZ9" s="17"/>
      <c r="EA9" s="17"/>
      <c r="EB9" s="18"/>
      <c r="EC9" s="11" t="e">
        <f t="shared" si="35"/>
        <v>#DIV/0!</v>
      </c>
      <c r="ED9" s="12">
        <f t="shared" si="36"/>
        <v>0</v>
      </c>
      <c r="EE9" s="20"/>
      <c r="EF9" s="16"/>
      <c r="EG9" s="17"/>
      <c r="EH9" s="17"/>
      <c r="EI9" s="18"/>
      <c r="EJ9" s="11" t="e">
        <f t="shared" si="37"/>
        <v>#DIV/0!</v>
      </c>
      <c r="EK9" s="12">
        <f t="shared" si="38"/>
        <v>0</v>
      </c>
      <c r="EL9" s="20"/>
      <c r="EM9" s="16"/>
      <c r="EN9" s="17"/>
      <c r="EO9" s="17"/>
      <c r="EP9" s="18"/>
      <c r="EQ9" s="11" t="e">
        <f t="shared" si="39"/>
        <v>#DIV/0!</v>
      </c>
      <c r="ER9" s="12">
        <f t="shared" si="40"/>
        <v>0</v>
      </c>
      <c r="ES9" s="20"/>
      <c r="ET9" s="16"/>
      <c r="EU9" s="17"/>
      <c r="EV9" s="17"/>
      <c r="EW9" s="18"/>
      <c r="EX9" s="11" t="e">
        <f t="shared" si="41"/>
        <v>#DIV/0!</v>
      </c>
      <c r="EY9" s="12">
        <f t="shared" si="42"/>
        <v>0</v>
      </c>
      <c r="EZ9" s="20"/>
      <c r="FA9" s="16"/>
      <c r="FB9" s="17"/>
      <c r="FC9" s="17"/>
      <c r="FD9" s="18"/>
      <c r="FE9" s="11" t="e">
        <f t="shared" si="43"/>
        <v>#DIV/0!</v>
      </c>
      <c r="FF9" s="12">
        <f t="shared" si="44"/>
        <v>0</v>
      </c>
      <c r="FG9" s="20"/>
      <c r="FH9" s="16"/>
      <c r="FI9" s="17"/>
      <c r="FJ9" s="17"/>
      <c r="FK9" s="18"/>
      <c r="FL9" s="11" t="e">
        <f t="shared" si="45"/>
        <v>#DIV/0!</v>
      </c>
      <c r="FM9" s="12">
        <f t="shared" si="46"/>
        <v>0</v>
      </c>
      <c r="FN9" s="20"/>
      <c r="FO9" s="16"/>
      <c r="FP9" s="17"/>
      <c r="FQ9" s="17"/>
      <c r="FR9" s="18"/>
      <c r="FS9" s="11" t="e">
        <f t="shared" si="47"/>
        <v>#DIV/0!</v>
      </c>
      <c r="FT9" s="12">
        <f t="shared" si="48"/>
        <v>0</v>
      </c>
      <c r="FU9" s="20"/>
      <c r="FV9" s="16"/>
      <c r="FW9" s="17"/>
      <c r="FX9" s="17"/>
      <c r="FY9" s="18"/>
      <c r="FZ9" s="11" t="e">
        <f t="shared" si="49"/>
        <v>#DIV/0!</v>
      </c>
      <c r="GA9" s="12">
        <f t="shared" si="50"/>
        <v>0</v>
      </c>
      <c r="GB9" s="20"/>
      <c r="GC9" s="16"/>
      <c r="GD9" s="17"/>
      <c r="GE9" s="17"/>
      <c r="GF9" s="18"/>
      <c r="GG9" s="11" t="e">
        <f t="shared" si="51"/>
        <v>#DIV/0!</v>
      </c>
      <c r="GH9" s="12">
        <f t="shared" si="52"/>
        <v>0</v>
      </c>
      <c r="GI9" s="20"/>
      <c r="GJ9" s="16"/>
      <c r="GK9" s="17"/>
      <c r="GL9" s="17"/>
      <c r="GM9" s="18"/>
      <c r="GN9" s="11" t="e">
        <f t="shared" si="53"/>
        <v>#DIV/0!</v>
      </c>
      <c r="GO9" s="12">
        <f t="shared" si="54"/>
        <v>0</v>
      </c>
      <c r="GP9" s="20"/>
      <c r="GQ9" s="16"/>
      <c r="GR9" s="17"/>
      <c r="GS9" s="17"/>
      <c r="GT9" s="18"/>
      <c r="GU9" s="11" t="e">
        <f t="shared" si="55"/>
        <v>#DIV/0!</v>
      </c>
      <c r="GV9" s="12">
        <f t="shared" si="56"/>
        <v>0</v>
      </c>
    </row>
    <row r="10" spans="1:204" s="19" customFormat="1" x14ac:dyDescent="0.15">
      <c r="A10" s="15">
        <v>7</v>
      </c>
      <c r="B10" s="16"/>
      <c r="C10" s="16"/>
      <c r="D10" s="17"/>
      <c r="E10" s="17">
        <v>1</v>
      </c>
      <c r="F10" s="18"/>
      <c r="G10" s="11" t="e">
        <f t="shared" si="57"/>
        <v>#DIV/0!</v>
      </c>
      <c r="H10" s="12">
        <f t="shared" si="0"/>
        <v>0</v>
      </c>
      <c r="I10" s="20"/>
      <c r="J10" s="16"/>
      <c r="K10" s="17"/>
      <c r="L10" s="17"/>
      <c r="M10" s="18"/>
      <c r="N10" s="11" t="e">
        <f t="shared" si="1"/>
        <v>#DIV/0!</v>
      </c>
      <c r="O10" s="12">
        <f t="shared" si="2"/>
        <v>0</v>
      </c>
      <c r="P10" s="20"/>
      <c r="Q10" s="16"/>
      <c r="R10" s="17"/>
      <c r="S10" s="17"/>
      <c r="T10" s="18"/>
      <c r="U10" s="11" t="e">
        <f t="shared" si="3"/>
        <v>#DIV/0!</v>
      </c>
      <c r="V10" s="12">
        <f t="shared" si="4"/>
        <v>0</v>
      </c>
      <c r="W10" s="20"/>
      <c r="X10" s="16"/>
      <c r="Y10" s="17"/>
      <c r="Z10" s="17"/>
      <c r="AA10" s="18"/>
      <c r="AB10" s="11" t="e">
        <f t="shared" si="5"/>
        <v>#DIV/0!</v>
      </c>
      <c r="AC10" s="12">
        <f t="shared" si="6"/>
        <v>0</v>
      </c>
      <c r="AD10" s="20"/>
      <c r="AE10" s="16"/>
      <c r="AF10" s="17"/>
      <c r="AG10" s="17"/>
      <c r="AH10" s="18"/>
      <c r="AI10" s="11" t="e">
        <f t="shared" si="7"/>
        <v>#DIV/0!</v>
      </c>
      <c r="AJ10" s="12">
        <f t="shared" si="8"/>
        <v>0</v>
      </c>
      <c r="AK10" s="20"/>
      <c r="AL10" s="16"/>
      <c r="AM10" s="17"/>
      <c r="AN10" s="17"/>
      <c r="AO10" s="18"/>
      <c r="AP10" s="11" t="e">
        <f t="shared" si="9"/>
        <v>#DIV/0!</v>
      </c>
      <c r="AQ10" s="12">
        <f t="shared" si="10"/>
        <v>0</v>
      </c>
      <c r="AR10" s="20"/>
      <c r="AS10" s="16"/>
      <c r="AT10" s="17"/>
      <c r="AU10" s="17"/>
      <c r="AV10" s="18"/>
      <c r="AW10" s="11" t="e">
        <f t="shared" si="11"/>
        <v>#DIV/0!</v>
      </c>
      <c r="AX10" s="12">
        <f t="shared" si="12"/>
        <v>0</v>
      </c>
      <c r="AY10" s="20"/>
      <c r="AZ10" s="16"/>
      <c r="BA10" s="17"/>
      <c r="BB10" s="17"/>
      <c r="BC10" s="18"/>
      <c r="BD10" s="11" t="e">
        <f t="shared" si="13"/>
        <v>#DIV/0!</v>
      </c>
      <c r="BE10" s="12">
        <f t="shared" si="14"/>
        <v>0</v>
      </c>
      <c r="BF10" s="20"/>
      <c r="BG10" s="16"/>
      <c r="BH10" s="17"/>
      <c r="BI10" s="17"/>
      <c r="BJ10" s="18"/>
      <c r="BK10" s="11" t="e">
        <f t="shared" si="15"/>
        <v>#DIV/0!</v>
      </c>
      <c r="BL10" s="12">
        <f t="shared" si="16"/>
        <v>0</v>
      </c>
      <c r="BM10" s="20"/>
      <c r="BN10" s="16"/>
      <c r="BO10" s="17"/>
      <c r="BP10" s="17"/>
      <c r="BQ10" s="18"/>
      <c r="BR10" s="11" t="e">
        <f t="shared" si="17"/>
        <v>#DIV/0!</v>
      </c>
      <c r="BS10" s="12">
        <f t="shared" si="18"/>
        <v>0</v>
      </c>
      <c r="BT10" s="20"/>
      <c r="BU10" s="16"/>
      <c r="BV10" s="17"/>
      <c r="BW10" s="17"/>
      <c r="BX10" s="18"/>
      <c r="BY10" s="11" t="e">
        <f t="shared" si="19"/>
        <v>#DIV/0!</v>
      </c>
      <c r="BZ10" s="12">
        <f t="shared" si="20"/>
        <v>0</v>
      </c>
      <c r="CA10" s="20"/>
      <c r="CB10" s="16"/>
      <c r="CC10" s="17"/>
      <c r="CD10" s="17"/>
      <c r="CE10" s="18"/>
      <c r="CF10" s="11" t="e">
        <f t="shared" si="21"/>
        <v>#DIV/0!</v>
      </c>
      <c r="CG10" s="12">
        <f t="shared" si="22"/>
        <v>0</v>
      </c>
      <c r="CH10" s="20"/>
      <c r="CI10" s="16"/>
      <c r="CJ10" s="17"/>
      <c r="CK10" s="17"/>
      <c r="CL10" s="18"/>
      <c r="CM10" s="11" t="e">
        <f t="shared" si="23"/>
        <v>#DIV/0!</v>
      </c>
      <c r="CN10" s="12">
        <f t="shared" si="24"/>
        <v>0</v>
      </c>
      <c r="CO10" s="20"/>
      <c r="CP10" s="16"/>
      <c r="CQ10" s="17"/>
      <c r="CR10" s="17"/>
      <c r="CS10" s="18"/>
      <c r="CT10" s="11" t="e">
        <f t="shared" si="25"/>
        <v>#DIV/0!</v>
      </c>
      <c r="CU10" s="12">
        <f t="shared" si="26"/>
        <v>0</v>
      </c>
      <c r="CV10" s="20"/>
      <c r="CW10" s="16"/>
      <c r="CX10" s="17"/>
      <c r="CY10" s="17"/>
      <c r="CZ10" s="18"/>
      <c r="DA10" s="11" t="e">
        <f t="shared" si="27"/>
        <v>#DIV/0!</v>
      </c>
      <c r="DB10" s="12">
        <f t="shared" si="28"/>
        <v>0</v>
      </c>
      <c r="DC10" s="20"/>
      <c r="DD10" s="16"/>
      <c r="DE10" s="17"/>
      <c r="DF10" s="17"/>
      <c r="DG10" s="18"/>
      <c r="DH10" s="11" t="e">
        <f t="shared" si="29"/>
        <v>#DIV/0!</v>
      </c>
      <c r="DI10" s="12">
        <f t="shared" si="30"/>
        <v>0</v>
      </c>
      <c r="DJ10" s="20"/>
      <c r="DK10" s="16"/>
      <c r="DL10" s="17"/>
      <c r="DM10" s="17"/>
      <c r="DN10" s="18"/>
      <c r="DO10" s="11" t="e">
        <f t="shared" si="31"/>
        <v>#DIV/0!</v>
      </c>
      <c r="DP10" s="12">
        <f t="shared" si="32"/>
        <v>0</v>
      </c>
      <c r="DQ10" s="20"/>
      <c r="DR10" s="16"/>
      <c r="DS10" s="17"/>
      <c r="DT10" s="17"/>
      <c r="DU10" s="18"/>
      <c r="DV10" s="11" t="e">
        <f t="shared" si="33"/>
        <v>#DIV/0!</v>
      </c>
      <c r="DW10" s="12">
        <f t="shared" si="34"/>
        <v>0</v>
      </c>
      <c r="DX10" s="20"/>
      <c r="DY10" s="16"/>
      <c r="DZ10" s="17"/>
      <c r="EA10" s="17"/>
      <c r="EB10" s="18"/>
      <c r="EC10" s="11" t="e">
        <f t="shared" si="35"/>
        <v>#DIV/0!</v>
      </c>
      <c r="ED10" s="12">
        <f t="shared" si="36"/>
        <v>0</v>
      </c>
      <c r="EE10" s="20"/>
      <c r="EF10" s="16"/>
      <c r="EG10" s="17"/>
      <c r="EH10" s="17"/>
      <c r="EI10" s="18"/>
      <c r="EJ10" s="11" t="e">
        <f t="shared" si="37"/>
        <v>#DIV/0!</v>
      </c>
      <c r="EK10" s="12">
        <f t="shared" si="38"/>
        <v>0</v>
      </c>
      <c r="EL10" s="20"/>
      <c r="EM10" s="16"/>
      <c r="EN10" s="17"/>
      <c r="EO10" s="17"/>
      <c r="EP10" s="18"/>
      <c r="EQ10" s="11" t="e">
        <f t="shared" si="39"/>
        <v>#DIV/0!</v>
      </c>
      <c r="ER10" s="12">
        <f t="shared" si="40"/>
        <v>0</v>
      </c>
      <c r="ES10" s="20"/>
      <c r="ET10" s="16"/>
      <c r="EU10" s="17"/>
      <c r="EV10" s="17"/>
      <c r="EW10" s="18"/>
      <c r="EX10" s="11" t="e">
        <f t="shared" si="41"/>
        <v>#DIV/0!</v>
      </c>
      <c r="EY10" s="12">
        <f t="shared" si="42"/>
        <v>0</v>
      </c>
      <c r="EZ10" s="20"/>
      <c r="FA10" s="16"/>
      <c r="FB10" s="17"/>
      <c r="FC10" s="17"/>
      <c r="FD10" s="18"/>
      <c r="FE10" s="11" t="e">
        <f t="shared" si="43"/>
        <v>#DIV/0!</v>
      </c>
      <c r="FF10" s="12">
        <f t="shared" si="44"/>
        <v>0</v>
      </c>
      <c r="FG10" s="20"/>
      <c r="FH10" s="16"/>
      <c r="FI10" s="17"/>
      <c r="FJ10" s="17"/>
      <c r="FK10" s="18"/>
      <c r="FL10" s="11" t="e">
        <f t="shared" si="45"/>
        <v>#DIV/0!</v>
      </c>
      <c r="FM10" s="12">
        <f t="shared" si="46"/>
        <v>0</v>
      </c>
      <c r="FN10" s="20"/>
      <c r="FO10" s="16"/>
      <c r="FP10" s="17"/>
      <c r="FQ10" s="17"/>
      <c r="FR10" s="18"/>
      <c r="FS10" s="11" t="e">
        <f t="shared" si="47"/>
        <v>#DIV/0!</v>
      </c>
      <c r="FT10" s="12">
        <f t="shared" si="48"/>
        <v>0</v>
      </c>
      <c r="FU10" s="20"/>
      <c r="FV10" s="16"/>
      <c r="FW10" s="17"/>
      <c r="FX10" s="17"/>
      <c r="FY10" s="18"/>
      <c r="FZ10" s="11" t="e">
        <f t="shared" si="49"/>
        <v>#DIV/0!</v>
      </c>
      <c r="GA10" s="12">
        <f t="shared" si="50"/>
        <v>0</v>
      </c>
      <c r="GB10" s="20"/>
      <c r="GC10" s="16"/>
      <c r="GD10" s="17"/>
      <c r="GE10" s="17"/>
      <c r="GF10" s="18"/>
      <c r="GG10" s="11" t="e">
        <f t="shared" si="51"/>
        <v>#DIV/0!</v>
      </c>
      <c r="GH10" s="12">
        <f t="shared" si="52"/>
        <v>0</v>
      </c>
      <c r="GI10" s="20"/>
      <c r="GJ10" s="16"/>
      <c r="GK10" s="17"/>
      <c r="GL10" s="17"/>
      <c r="GM10" s="18"/>
      <c r="GN10" s="11" t="e">
        <f t="shared" si="53"/>
        <v>#DIV/0!</v>
      </c>
      <c r="GO10" s="12">
        <f t="shared" si="54"/>
        <v>0</v>
      </c>
      <c r="GP10" s="20"/>
      <c r="GQ10" s="16"/>
      <c r="GR10" s="17"/>
      <c r="GS10" s="17"/>
      <c r="GT10" s="18"/>
      <c r="GU10" s="11" t="e">
        <f t="shared" si="55"/>
        <v>#DIV/0!</v>
      </c>
      <c r="GV10" s="12">
        <f t="shared" si="56"/>
        <v>0</v>
      </c>
    </row>
    <row r="11" spans="1:204" s="19" customFormat="1" x14ac:dyDescent="0.15">
      <c r="A11" s="15">
        <v>8</v>
      </c>
      <c r="B11" s="16"/>
      <c r="C11" s="16"/>
      <c r="D11" s="17"/>
      <c r="E11" s="17"/>
      <c r="F11" s="18"/>
      <c r="G11" s="11" t="e">
        <f t="shared" si="57"/>
        <v>#DIV/0!</v>
      </c>
      <c r="H11" s="12">
        <f t="shared" si="0"/>
        <v>0</v>
      </c>
      <c r="I11" s="20"/>
      <c r="J11" s="16"/>
      <c r="K11" s="17"/>
      <c r="L11" s="17"/>
      <c r="M11" s="18"/>
      <c r="N11" s="11" t="e">
        <f t="shared" si="1"/>
        <v>#DIV/0!</v>
      </c>
      <c r="O11" s="12">
        <f t="shared" si="2"/>
        <v>0</v>
      </c>
      <c r="P11" s="20"/>
      <c r="Q11" s="16"/>
      <c r="R11" s="17"/>
      <c r="S11" s="17"/>
      <c r="T11" s="18"/>
      <c r="U11" s="11" t="e">
        <f t="shared" si="3"/>
        <v>#DIV/0!</v>
      </c>
      <c r="V11" s="12">
        <f t="shared" si="4"/>
        <v>0</v>
      </c>
      <c r="W11" s="20"/>
      <c r="X11" s="16"/>
      <c r="Y11" s="17"/>
      <c r="Z11" s="17"/>
      <c r="AA11" s="18"/>
      <c r="AB11" s="11" t="e">
        <f t="shared" si="5"/>
        <v>#DIV/0!</v>
      </c>
      <c r="AC11" s="12">
        <f t="shared" si="6"/>
        <v>0</v>
      </c>
      <c r="AD11" s="20"/>
      <c r="AE11" s="16"/>
      <c r="AF11" s="17"/>
      <c r="AG11" s="17"/>
      <c r="AH11" s="18"/>
      <c r="AI11" s="11" t="e">
        <f t="shared" si="7"/>
        <v>#DIV/0!</v>
      </c>
      <c r="AJ11" s="12">
        <f t="shared" si="8"/>
        <v>0</v>
      </c>
      <c r="AK11" s="20"/>
      <c r="AL11" s="16"/>
      <c r="AM11" s="17"/>
      <c r="AN11" s="17"/>
      <c r="AO11" s="18"/>
      <c r="AP11" s="11" t="e">
        <f t="shared" si="9"/>
        <v>#DIV/0!</v>
      </c>
      <c r="AQ11" s="12">
        <f t="shared" si="10"/>
        <v>0</v>
      </c>
      <c r="AR11" s="20"/>
      <c r="AS11" s="16"/>
      <c r="AT11" s="17"/>
      <c r="AU11" s="17"/>
      <c r="AV11" s="18"/>
      <c r="AW11" s="11" t="e">
        <f t="shared" si="11"/>
        <v>#DIV/0!</v>
      </c>
      <c r="AX11" s="12">
        <f t="shared" si="12"/>
        <v>0</v>
      </c>
      <c r="AY11" s="20"/>
      <c r="AZ11" s="16"/>
      <c r="BA11" s="17"/>
      <c r="BB11" s="17"/>
      <c r="BC11" s="18"/>
      <c r="BD11" s="11" t="e">
        <f t="shared" si="13"/>
        <v>#DIV/0!</v>
      </c>
      <c r="BE11" s="12">
        <f t="shared" si="14"/>
        <v>0</v>
      </c>
      <c r="BF11" s="20"/>
      <c r="BG11" s="16"/>
      <c r="BH11" s="17"/>
      <c r="BI11" s="17"/>
      <c r="BJ11" s="18"/>
      <c r="BK11" s="11" t="e">
        <f t="shared" si="15"/>
        <v>#DIV/0!</v>
      </c>
      <c r="BL11" s="12">
        <f t="shared" si="16"/>
        <v>0</v>
      </c>
      <c r="BM11" s="20"/>
      <c r="BN11" s="16"/>
      <c r="BO11" s="17"/>
      <c r="BP11" s="17"/>
      <c r="BQ11" s="18"/>
      <c r="BR11" s="11" t="e">
        <f t="shared" si="17"/>
        <v>#DIV/0!</v>
      </c>
      <c r="BS11" s="12">
        <f t="shared" si="18"/>
        <v>0</v>
      </c>
      <c r="BT11" s="20"/>
      <c r="BU11" s="16"/>
      <c r="BV11" s="17"/>
      <c r="BW11" s="17"/>
      <c r="BX11" s="18"/>
      <c r="BY11" s="11" t="e">
        <f t="shared" si="19"/>
        <v>#DIV/0!</v>
      </c>
      <c r="BZ11" s="12">
        <f t="shared" si="20"/>
        <v>0</v>
      </c>
      <c r="CA11" s="20"/>
      <c r="CB11" s="16"/>
      <c r="CC11" s="17"/>
      <c r="CD11" s="17"/>
      <c r="CE11" s="18"/>
      <c r="CF11" s="11" t="e">
        <f t="shared" si="21"/>
        <v>#DIV/0!</v>
      </c>
      <c r="CG11" s="12">
        <f t="shared" si="22"/>
        <v>0</v>
      </c>
      <c r="CH11" s="20"/>
      <c r="CI11" s="16"/>
      <c r="CJ11" s="17"/>
      <c r="CK11" s="17"/>
      <c r="CL11" s="18"/>
      <c r="CM11" s="11" t="e">
        <f t="shared" si="23"/>
        <v>#DIV/0!</v>
      </c>
      <c r="CN11" s="12">
        <f t="shared" si="24"/>
        <v>0</v>
      </c>
      <c r="CO11" s="20"/>
      <c r="CP11" s="16"/>
      <c r="CQ11" s="17"/>
      <c r="CR11" s="17"/>
      <c r="CS11" s="18"/>
      <c r="CT11" s="11" t="e">
        <f t="shared" si="25"/>
        <v>#DIV/0!</v>
      </c>
      <c r="CU11" s="12">
        <f t="shared" si="26"/>
        <v>0</v>
      </c>
      <c r="CV11" s="20"/>
      <c r="CW11" s="16"/>
      <c r="CX11" s="17"/>
      <c r="CY11" s="17"/>
      <c r="CZ11" s="18"/>
      <c r="DA11" s="11" t="e">
        <f t="shared" si="27"/>
        <v>#DIV/0!</v>
      </c>
      <c r="DB11" s="12">
        <f t="shared" si="28"/>
        <v>0</v>
      </c>
      <c r="DC11" s="20"/>
      <c r="DD11" s="16"/>
      <c r="DE11" s="17"/>
      <c r="DF11" s="17"/>
      <c r="DG11" s="18"/>
      <c r="DH11" s="11" t="e">
        <f t="shared" si="29"/>
        <v>#DIV/0!</v>
      </c>
      <c r="DI11" s="12">
        <f t="shared" si="30"/>
        <v>0</v>
      </c>
      <c r="DJ11" s="20"/>
      <c r="DK11" s="16"/>
      <c r="DL11" s="17"/>
      <c r="DM11" s="17"/>
      <c r="DN11" s="18"/>
      <c r="DO11" s="11" t="e">
        <f t="shared" si="31"/>
        <v>#DIV/0!</v>
      </c>
      <c r="DP11" s="12">
        <f t="shared" si="32"/>
        <v>0</v>
      </c>
      <c r="DQ11" s="20"/>
      <c r="DR11" s="16"/>
      <c r="DS11" s="17"/>
      <c r="DT11" s="17"/>
      <c r="DU11" s="18"/>
      <c r="DV11" s="11" t="e">
        <f t="shared" si="33"/>
        <v>#DIV/0!</v>
      </c>
      <c r="DW11" s="12">
        <f t="shared" si="34"/>
        <v>0</v>
      </c>
      <c r="DX11" s="20"/>
      <c r="DY11" s="16"/>
      <c r="DZ11" s="17"/>
      <c r="EA11" s="17"/>
      <c r="EB11" s="18"/>
      <c r="EC11" s="11" t="e">
        <f t="shared" si="35"/>
        <v>#DIV/0!</v>
      </c>
      <c r="ED11" s="12">
        <f t="shared" si="36"/>
        <v>0</v>
      </c>
      <c r="EE11" s="20"/>
      <c r="EF11" s="16"/>
      <c r="EG11" s="17"/>
      <c r="EH11" s="17"/>
      <c r="EI11" s="18"/>
      <c r="EJ11" s="11" t="e">
        <f t="shared" si="37"/>
        <v>#DIV/0!</v>
      </c>
      <c r="EK11" s="12">
        <f t="shared" si="38"/>
        <v>0</v>
      </c>
      <c r="EL11" s="20"/>
      <c r="EM11" s="16"/>
      <c r="EN11" s="17"/>
      <c r="EO11" s="17"/>
      <c r="EP11" s="18"/>
      <c r="EQ11" s="11" t="e">
        <f t="shared" si="39"/>
        <v>#DIV/0!</v>
      </c>
      <c r="ER11" s="12">
        <f t="shared" si="40"/>
        <v>0</v>
      </c>
      <c r="ES11" s="20"/>
      <c r="ET11" s="16"/>
      <c r="EU11" s="17"/>
      <c r="EV11" s="17"/>
      <c r="EW11" s="18"/>
      <c r="EX11" s="11" t="e">
        <f t="shared" si="41"/>
        <v>#DIV/0!</v>
      </c>
      <c r="EY11" s="12">
        <f t="shared" si="42"/>
        <v>0</v>
      </c>
      <c r="EZ11" s="20"/>
      <c r="FA11" s="16"/>
      <c r="FB11" s="17"/>
      <c r="FC11" s="17"/>
      <c r="FD11" s="18"/>
      <c r="FE11" s="11" t="e">
        <f t="shared" si="43"/>
        <v>#DIV/0!</v>
      </c>
      <c r="FF11" s="12">
        <f t="shared" si="44"/>
        <v>0</v>
      </c>
      <c r="FG11" s="20"/>
      <c r="FH11" s="16"/>
      <c r="FI11" s="17"/>
      <c r="FJ11" s="17"/>
      <c r="FK11" s="18"/>
      <c r="FL11" s="11" t="e">
        <f t="shared" si="45"/>
        <v>#DIV/0!</v>
      </c>
      <c r="FM11" s="12">
        <f t="shared" si="46"/>
        <v>0</v>
      </c>
      <c r="FN11" s="20"/>
      <c r="FO11" s="16"/>
      <c r="FP11" s="17"/>
      <c r="FQ11" s="17"/>
      <c r="FR11" s="18"/>
      <c r="FS11" s="11" t="e">
        <f t="shared" si="47"/>
        <v>#DIV/0!</v>
      </c>
      <c r="FT11" s="12">
        <f t="shared" si="48"/>
        <v>0</v>
      </c>
      <c r="FU11" s="20"/>
      <c r="FV11" s="16"/>
      <c r="FW11" s="17"/>
      <c r="FX11" s="17"/>
      <c r="FY11" s="18"/>
      <c r="FZ11" s="11" t="e">
        <f t="shared" si="49"/>
        <v>#DIV/0!</v>
      </c>
      <c r="GA11" s="12">
        <f t="shared" si="50"/>
        <v>0</v>
      </c>
      <c r="GB11" s="20"/>
      <c r="GC11" s="16"/>
      <c r="GD11" s="17"/>
      <c r="GE11" s="17"/>
      <c r="GF11" s="18"/>
      <c r="GG11" s="11" t="e">
        <f t="shared" si="51"/>
        <v>#DIV/0!</v>
      </c>
      <c r="GH11" s="12">
        <f t="shared" si="52"/>
        <v>0</v>
      </c>
      <c r="GI11" s="20"/>
      <c r="GJ11" s="16"/>
      <c r="GK11" s="17"/>
      <c r="GL11" s="17"/>
      <c r="GM11" s="18"/>
      <c r="GN11" s="11" t="e">
        <f t="shared" si="53"/>
        <v>#DIV/0!</v>
      </c>
      <c r="GO11" s="12">
        <f t="shared" si="54"/>
        <v>0</v>
      </c>
      <c r="GP11" s="20"/>
      <c r="GQ11" s="16"/>
      <c r="GR11" s="17"/>
      <c r="GS11" s="17"/>
      <c r="GT11" s="18"/>
      <c r="GU11" s="11" t="e">
        <f t="shared" si="55"/>
        <v>#DIV/0!</v>
      </c>
      <c r="GV11" s="12">
        <f t="shared" si="56"/>
        <v>0</v>
      </c>
    </row>
    <row r="12" spans="1:204" s="19" customFormat="1" x14ac:dyDescent="0.15">
      <c r="A12" s="15">
        <v>9</v>
      </c>
      <c r="B12" s="16"/>
      <c r="C12" s="16"/>
      <c r="D12" s="17"/>
      <c r="E12" s="17"/>
      <c r="F12" s="18"/>
      <c r="G12" s="11" t="e">
        <f t="shared" si="57"/>
        <v>#DIV/0!</v>
      </c>
      <c r="H12" s="12">
        <f t="shared" si="0"/>
        <v>0</v>
      </c>
      <c r="I12" s="20"/>
      <c r="J12" s="16"/>
      <c r="K12" s="17"/>
      <c r="L12" s="17"/>
      <c r="M12" s="18"/>
      <c r="N12" s="11" t="e">
        <f t="shared" si="1"/>
        <v>#DIV/0!</v>
      </c>
      <c r="O12" s="12">
        <f t="shared" si="2"/>
        <v>0</v>
      </c>
      <c r="P12" s="20"/>
      <c r="Q12" s="16"/>
      <c r="R12" s="17"/>
      <c r="S12" s="17"/>
      <c r="T12" s="18"/>
      <c r="U12" s="11" t="e">
        <f t="shared" si="3"/>
        <v>#DIV/0!</v>
      </c>
      <c r="V12" s="12">
        <f t="shared" si="4"/>
        <v>0</v>
      </c>
      <c r="W12" s="20"/>
      <c r="X12" s="16"/>
      <c r="Y12" s="17"/>
      <c r="Z12" s="17"/>
      <c r="AA12" s="18"/>
      <c r="AB12" s="11" t="e">
        <f t="shared" si="5"/>
        <v>#DIV/0!</v>
      </c>
      <c r="AC12" s="12">
        <f t="shared" si="6"/>
        <v>0</v>
      </c>
      <c r="AD12" s="20"/>
      <c r="AE12" s="16"/>
      <c r="AF12" s="17"/>
      <c r="AG12" s="17"/>
      <c r="AH12" s="18"/>
      <c r="AI12" s="11" t="e">
        <f t="shared" si="7"/>
        <v>#DIV/0!</v>
      </c>
      <c r="AJ12" s="12">
        <f t="shared" si="8"/>
        <v>0</v>
      </c>
      <c r="AK12" s="20"/>
      <c r="AL12" s="16"/>
      <c r="AM12" s="17"/>
      <c r="AN12" s="17"/>
      <c r="AO12" s="18"/>
      <c r="AP12" s="11" t="e">
        <f t="shared" si="9"/>
        <v>#DIV/0!</v>
      </c>
      <c r="AQ12" s="12">
        <f t="shared" si="10"/>
        <v>0</v>
      </c>
      <c r="AR12" s="20"/>
      <c r="AS12" s="16"/>
      <c r="AT12" s="17"/>
      <c r="AU12" s="17"/>
      <c r="AV12" s="18"/>
      <c r="AW12" s="11" t="e">
        <f t="shared" si="11"/>
        <v>#DIV/0!</v>
      </c>
      <c r="AX12" s="12">
        <f t="shared" si="12"/>
        <v>0</v>
      </c>
      <c r="AY12" s="20"/>
      <c r="AZ12" s="16"/>
      <c r="BA12" s="17"/>
      <c r="BB12" s="17"/>
      <c r="BC12" s="18"/>
      <c r="BD12" s="11" t="e">
        <f t="shared" si="13"/>
        <v>#DIV/0!</v>
      </c>
      <c r="BE12" s="12">
        <f t="shared" si="14"/>
        <v>0</v>
      </c>
      <c r="BF12" s="20"/>
      <c r="BG12" s="16"/>
      <c r="BH12" s="17"/>
      <c r="BI12" s="17"/>
      <c r="BJ12" s="18"/>
      <c r="BK12" s="11" t="e">
        <f t="shared" si="15"/>
        <v>#DIV/0!</v>
      </c>
      <c r="BL12" s="12">
        <f t="shared" si="16"/>
        <v>0</v>
      </c>
      <c r="BM12" s="20"/>
      <c r="BN12" s="16"/>
      <c r="BO12" s="17"/>
      <c r="BP12" s="17"/>
      <c r="BQ12" s="18"/>
      <c r="BR12" s="11" t="e">
        <f t="shared" si="17"/>
        <v>#DIV/0!</v>
      </c>
      <c r="BS12" s="12">
        <f t="shared" si="18"/>
        <v>0</v>
      </c>
      <c r="BT12" s="20"/>
      <c r="BU12" s="16"/>
      <c r="BV12" s="17"/>
      <c r="BW12" s="17"/>
      <c r="BX12" s="18"/>
      <c r="BY12" s="11" t="e">
        <f t="shared" si="19"/>
        <v>#DIV/0!</v>
      </c>
      <c r="BZ12" s="12">
        <f t="shared" si="20"/>
        <v>0</v>
      </c>
      <c r="CA12" s="20"/>
      <c r="CB12" s="16"/>
      <c r="CC12" s="17"/>
      <c r="CD12" s="17"/>
      <c r="CE12" s="18"/>
      <c r="CF12" s="11" t="e">
        <f t="shared" si="21"/>
        <v>#DIV/0!</v>
      </c>
      <c r="CG12" s="12">
        <f t="shared" si="22"/>
        <v>0</v>
      </c>
      <c r="CH12" s="20"/>
      <c r="CI12" s="16"/>
      <c r="CJ12" s="17"/>
      <c r="CK12" s="17"/>
      <c r="CL12" s="18"/>
      <c r="CM12" s="11" t="e">
        <f t="shared" si="23"/>
        <v>#DIV/0!</v>
      </c>
      <c r="CN12" s="12">
        <f t="shared" si="24"/>
        <v>0</v>
      </c>
      <c r="CO12" s="20"/>
      <c r="CP12" s="16"/>
      <c r="CQ12" s="17"/>
      <c r="CR12" s="17"/>
      <c r="CS12" s="18"/>
      <c r="CT12" s="11" t="e">
        <f t="shared" si="25"/>
        <v>#DIV/0!</v>
      </c>
      <c r="CU12" s="12">
        <f t="shared" si="26"/>
        <v>0</v>
      </c>
      <c r="CV12" s="20"/>
      <c r="CW12" s="16"/>
      <c r="CX12" s="17"/>
      <c r="CY12" s="17"/>
      <c r="CZ12" s="18"/>
      <c r="DA12" s="11" t="e">
        <f t="shared" si="27"/>
        <v>#DIV/0!</v>
      </c>
      <c r="DB12" s="12">
        <f t="shared" si="28"/>
        <v>0</v>
      </c>
      <c r="DC12" s="20"/>
      <c r="DD12" s="16"/>
      <c r="DE12" s="17"/>
      <c r="DF12" s="17"/>
      <c r="DG12" s="18"/>
      <c r="DH12" s="11" t="e">
        <f t="shared" si="29"/>
        <v>#DIV/0!</v>
      </c>
      <c r="DI12" s="12">
        <f t="shared" si="30"/>
        <v>0</v>
      </c>
      <c r="DJ12" s="20"/>
      <c r="DK12" s="16"/>
      <c r="DL12" s="17"/>
      <c r="DM12" s="17"/>
      <c r="DN12" s="18"/>
      <c r="DO12" s="11" t="e">
        <f t="shared" si="31"/>
        <v>#DIV/0!</v>
      </c>
      <c r="DP12" s="12">
        <f t="shared" si="32"/>
        <v>0</v>
      </c>
      <c r="DQ12" s="20"/>
      <c r="DR12" s="16"/>
      <c r="DS12" s="17"/>
      <c r="DT12" s="17"/>
      <c r="DU12" s="18"/>
      <c r="DV12" s="11" t="e">
        <f t="shared" si="33"/>
        <v>#DIV/0!</v>
      </c>
      <c r="DW12" s="12">
        <f t="shared" si="34"/>
        <v>0</v>
      </c>
      <c r="DX12" s="20"/>
      <c r="DY12" s="16"/>
      <c r="DZ12" s="17"/>
      <c r="EA12" s="17"/>
      <c r="EB12" s="18"/>
      <c r="EC12" s="11" t="e">
        <f t="shared" si="35"/>
        <v>#DIV/0!</v>
      </c>
      <c r="ED12" s="12">
        <f t="shared" si="36"/>
        <v>0</v>
      </c>
      <c r="EE12" s="20"/>
      <c r="EF12" s="16"/>
      <c r="EG12" s="17"/>
      <c r="EH12" s="17"/>
      <c r="EI12" s="18"/>
      <c r="EJ12" s="11" t="e">
        <f t="shared" si="37"/>
        <v>#DIV/0!</v>
      </c>
      <c r="EK12" s="12">
        <f t="shared" si="38"/>
        <v>0</v>
      </c>
      <c r="EL12" s="20"/>
      <c r="EM12" s="16"/>
      <c r="EN12" s="17"/>
      <c r="EO12" s="17"/>
      <c r="EP12" s="18"/>
      <c r="EQ12" s="11" t="e">
        <f t="shared" si="39"/>
        <v>#DIV/0!</v>
      </c>
      <c r="ER12" s="12">
        <f t="shared" si="40"/>
        <v>0</v>
      </c>
      <c r="ES12" s="20"/>
      <c r="ET12" s="16"/>
      <c r="EU12" s="17"/>
      <c r="EV12" s="17"/>
      <c r="EW12" s="18"/>
      <c r="EX12" s="11" t="e">
        <f t="shared" si="41"/>
        <v>#DIV/0!</v>
      </c>
      <c r="EY12" s="12">
        <f t="shared" si="42"/>
        <v>0</v>
      </c>
      <c r="EZ12" s="20"/>
      <c r="FA12" s="16"/>
      <c r="FB12" s="17"/>
      <c r="FC12" s="17"/>
      <c r="FD12" s="18"/>
      <c r="FE12" s="11" t="e">
        <f t="shared" si="43"/>
        <v>#DIV/0!</v>
      </c>
      <c r="FF12" s="12">
        <f t="shared" si="44"/>
        <v>0</v>
      </c>
      <c r="FG12" s="20"/>
      <c r="FH12" s="16"/>
      <c r="FI12" s="17"/>
      <c r="FJ12" s="17"/>
      <c r="FK12" s="18"/>
      <c r="FL12" s="11" t="e">
        <f t="shared" si="45"/>
        <v>#DIV/0!</v>
      </c>
      <c r="FM12" s="12">
        <f t="shared" si="46"/>
        <v>0</v>
      </c>
      <c r="FN12" s="20"/>
      <c r="FO12" s="16"/>
      <c r="FP12" s="17"/>
      <c r="FQ12" s="17"/>
      <c r="FR12" s="18"/>
      <c r="FS12" s="11" t="e">
        <f t="shared" si="47"/>
        <v>#DIV/0!</v>
      </c>
      <c r="FT12" s="12">
        <f t="shared" si="48"/>
        <v>0</v>
      </c>
      <c r="FU12" s="20"/>
      <c r="FV12" s="16"/>
      <c r="FW12" s="17"/>
      <c r="FX12" s="17"/>
      <c r="FY12" s="18"/>
      <c r="FZ12" s="11" t="e">
        <f t="shared" si="49"/>
        <v>#DIV/0!</v>
      </c>
      <c r="GA12" s="12">
        <f t="shared" si="50"/>
        <v>0</v>
      </c>
      <c r="GB12" s="20"/>
      <c r="GC12" s="16"/>
      <c r="GD12" s="17"/>
      <c r="GE12" s="17"/>
      <c r="GF12" s="18"/>
      <c r="GG12" s="11" t="e">
        <f t="shared" si="51"/>
        <v>#DIV/0!</v>
      </c>
      <c r="GH12" s="12">
        <f t="shared" si="52"/>
        <v>0</v>
      </c>
      <c r="GI12" s="20"/>
      <c r="GJ12" s="16"/>
      <c r="GK12" s="17"/>
      <c r="GL12" s="17"/>
      <c r="GM12" s="18"/>
      <c r="GN12" s="11" t="e">
        <f t="shared" si="53"/>
        <v>#DIV/0!</v>
      </c>
      <c r="GO12" s="12">
        <f t="shared" si="54"/>
        <v>0</v>
      </c>
      <c r="GP12" s="20"/>
      <c r="GQ12" s="16"/>
      <c r="GR12" s="17"/>
      <c r="GS12" s="17"/>
      <c r="GT12" s="18"/>
      <c r="GU12" s="11" t="e">
        <f t="shared" si="55"/>
        <v>#DIV/0!</v>
      </c>
      <c r="GV12" s="12">
        <f t="shared" si="56"/>
        <v>0</v>
      </c>
    </row>
    <row r="13" spans="1:204" s="19" customFormat="1" x14ac:dyDescent="0.15">
      <c r="A13" s="15">
        <v>10</v>
      </c>
      <c r="B13" s="16"/>
      <c r="C13" s="16"/>
      <c r="D13" s="17"/>
      <c r="E13" s="17"/>
      <c r="F13" s="18"/>
      <c r="G13" s="11" t="e">
        <f t="shared" si="57"/>
        <v>#DIV/0!</v>
      </c>
      <c r="H13" s="12">
        <f t="shared" si="0"/>
        <v>0</v>
      </c>
      <c r="I13" s="20"/>
      <c r="J13" s="16"/>
      <c r="K13" s="17"/>
      <c r="L13" s="17"/>
      <c r="M13" s="18"/>
      <c r="N13" s="11" t="e">
        <f t="shared" si="1"/>
        <v>#DIV/0!</v>
      </c>
      <c r="O13" s="12">
        <f t="shared" si="2"/>
        <v>0</v>
      </c>
      <c r="P13" s="20"/>
      <c r="Q13" s="16"/>
      <c r="R13" s="17"/>
      <c r="S13" s="17"/>
      <c r="T13" s="18"/>
      <c r="U13" s="11" t="e">
        <f t="shared" si="3"/>
        <v>#DIV/0!</v>
      </c>
      <c r="V13" s="12">
        <f t="shared" si="4"/>
        <v>0</v>
      </c>
      <c r="W13" s="20"/>
      <c r="X13" s="16"/>
      <c r="Y13" s="17"/>
      <c r="Z13" s="17"/>
      <c r="AA13" s="18"/>
      <c r="AB13" s="11" t="e">
        <f t="shared" si="5"/>
        <v>#DIV/0!</v>
      </c>
      <c r="AC13" s="12">
        <f t="shared" si="6"/>
        <v>0</v>
      </c>
      <c r="AD13" s="20"/>
      <c r="AE13" s="16"/>
      <c r="AF13" s="17"/>
      <c r="AG13" s="17"/>
      <c r="AH13" s="18"/>
      <c r="AI13" s="11" t="e">
        <f t="shared" si="7"/>
        <v>#DIV/0!</v>
      </c>
      <c r="AJ13" s="12">
        <f t="shared" si="8"/>
        <v>0</v>
      </c>
      <c r="AK13" s="20"/>
      <c r="AL13" s="16"/>
      <c r="AM13" s="17"/>
      <c r="AN13" s="17"/>
      <c r="AO13" s="18"/>
      <c r="AP13" s="11" t="e">
        <f t="shared" si="9"/>
        <v>#DIV/0!</v>
      </c>
      <c r="AQ13" s="12">
        <f t="shared" si="10"/>
        <v>0</v>
      </c>
      <c r="AR13" s="20"/>
      <c r="AS13" s="16"/>
      <c r="AT13" s="17"/>
      <c r="AU13" s="17"/>
      <c r="AV13" s="18"/>
      <c r="AW13" s="11" t="e">
        <f t="shared" si="11"/>
        <v>#DIV/0!</v>
      </c>
      <c r="AX13" s="12">
        <f t="shared" si="12"/>
        <v>0</v>
      </c>
      <c r="AY13" s="20"/>
      <c r="AZ13" s="16"/>
      <c r="BA13" s="17"/>
      <c r="BB13" s="17"/>
      <c r="BC13" s="18"/>
      <c r="BD13" s="11" t="e">
        <f t="shared" si="13"/>
        <v>#DIV/0!</v>
      </c>
      <c r="BE13" s="12">
        <f t="shared" si="14"/>
        <v>0</v>
      </c>
      <c r="BF13" s="20"/>
      <c r="BG13" s="16"/>
      <c r="BH13" s="17"/>
      <c r="BI13" s="17"/>
      <c r="BJ13" s="18"/>
      <c r="BK13" s="11" t="e">
        <f t="shared" si="15"/>
        <v>#DIV/0!</v>
      </c>
      <c r="BL13" s="12">
        <f t="shared" si="16"/>
        <v>0</v>
      </c>
      <c r="BM13" s="20"/>
      <c r="BN13" s="16"/>
      <c r="BO13" s="17"/>
      <c r="BP13" s="17"/>
      <c r="BQ13" s="18"/>
      <c r="BR13" s="11" t="e">
        <f t="shared" si="17"/>
        <v>#DIV/0!</v>
      </c>
      <c r="BS13" s="12">
        <f t="shared" si="18"/>
        <v>0</v>
      </c>
      <c r="BT13" s="20"/>
      <c r="BU13" s="16"/>
      <c r="BV13" s="17"/>
      <c r="BW13" s="17"/>
      <c r="BX13" s="18"/>
      <c r="BY13" s="11" t="e">
        <f t="shared" si="19"/>
        <v>#DIV/0!</v>
      </c>
      <c r="BZ13" s="12">
        <f t="shared" si="20"/>
        <v>0</v>
      </c>
      <c r="CA13" s="20"/>
      <c r="CB13" s="16"/>
      <c r="CC13" s="17"/>
      <c r="CD13" s="17"/>
      <c r="CE13" s="18"/>
      <c r="CF13" s="11" t="e">
        <f t="shared" si="21"/>
        <v>#DIV/0!</v>
      </c>
      <c r="CG13" s="12">
        <f t="shared" si="22"/>
        <v>0</v>
      </c>
      <c r="CH13" s="20"/>
      <c r="CI13" s="16"/>
      <c r="CJ13" s="17"/>
      <c r="CK13" s="17"/>
      <c r="CL13" s="18"/>
      <c r="CM13" s="11" t="e">
        <f t="shared" si="23"/>
        <v>#DIV/0!</v>
      </c>
      <c r="CN13" s="12">
        <f t="shared" si="24"/>
        <v>0</v>
      </c>
      <c r="CO13" s="20"/>
      <c r="CP13" s="16"/>
      <c r="CQ13" s="17"/>
      <c r="CR13" s="17"/>
      <c r="CS13" s="18"/>
      <c r="CT13" s="11" t="e">
        <f t="shared" si="25"/>
        <v>#DIV/0!</v>
      </c>
      <c r="CU13" s="12">
        <f t="shared" si="26"/>
        <v>0</v>
      </c>
      <c r="CV13" s="20"/>
      <c r="CW13" s="16"/>
      <c r="CX13" s="17"/>
      <c r="CY13" s="17"/>
      <c r="CZ13" s="18"/>
      <c r="DA13" s="11" t="e">
        <f t="shared" si="27"/>
        <v>#DIV/0!</v>
      </c>
      <c r="DB13" s="12">
        <f t="shared" si="28"/>
        <v>0</v>
      </c>
      <c r="DC13" s="20"/>
      <c r="DD13" s="16"/>
      <c r="DE13" s="17"/>
      <c r="DF13" s="17"/>
      <c r="DG13" s="18"/>
      <c r="DH13" s="11" t="e">
        <f t="shared" si="29"/>
        <v>#DIV/0!</v>
      </c>
      <c r="DI13" s="12">
        <f t="shared" si="30"/>
        <v>0</v>
      </c>
      <c r="DJ13" s="20"/>
      <c r="DK13" s="16"/>
      <c r="DL13" s="17"/>
      <c r="DM13" s="17"/>
      <c r="DN13" s="18"/>
      <c r="DO13" s="11" t="e">
        <f t="shared" si="31"/>
        <v>#DIV/0!</v>
      </c>
      <c r="DP13" s="12">
        <f t="shared" si="32"/>
        <v>0</v>
      </c>
      <c r="DQ13" s="20"/>
      <c r="DR13" s="16"/>
      <c r="DS13" s="17"/>
      <c r="DT13" s="17"/>
      <c r="DU13" s="18"/>
      <c r="DV13" s="11" t="e">
        <f t="shared" si="33"/>
        <v>#DIV/0!</v>
      </c>
      <c r="DW13" s="12">
        <f t="shared" si="34"/>
        <v>0</v>
      </c>
      <c r="DX13" s="20"/>
      <c r="DY13" s="16"/>
      <c r="DZ13" s="17"/>
      <c r="EA13" s="17"/>
      <c r="EB13" s="18"/>
      <c r="EC13" s="11" t="e">
        <f t="shared" si="35"/>
        <v>#DIV/0!</v>
      </c>
      <c r="ED13" s="12">
        <f t="shared" si="36"/>
        <v>0</v>
      </c>
      <c r="EE13" s="20"/>
      <c r="EF13" s="16"/>
      <c r="EG13" s="17"/>
      <c r="EH13" s="17"/>
      <c r="EI13" s="18"/>
      <c r="EJ13" s="11" t="e">
        <f t="shared" si="37"/>
        <v>#DIV/0!</v>
      </c>
      <c r="EK13" s="12">
        <f t="shared" si="38"/>
        <v>0</v>
      </c>
      <c r="EL13" s="20"/>
      <c r="EM13" s="16"/>
      <c r="EN13" s="17"/>
      <c r="EO13" s="17"/>
      <c r="EP13" s="18"/>
      <c r="EQ13" s="11" t="e">
        <f t="shared" si="39"/>
        <v>#DIV/0!</v>
      </c>
      <c r="ER13" s="12">
        <f t="shared" si="40"/>
        <v>0</v>
      </c>
      <c r="ES13" s="20"/>
      <c r="ET13" s="16"/>
      <c r="EU13" s="17"/>
      <c r="EV13" s="17"/>
      <c r="EW13" s="18"/>
      <c r="EX13" s="11" t="e">
        <f t="shared" si="41"/>
        <v>#DIV/0!</v>
      </c>
      <c r="EY13" s="12">
        <f t="shared" si="42"/>
        <v>0</v>
      </c>
      <c r="EZ13" s="20"/>
      <c r="FA13" s="16"/>
      <c r="FB13" s="17"/>
      <c r="FC13" s="17"/>
      <c r="FD13" s="18"/>
      <c r="FE13" s="11" t="e">
        <f t="shared" si="43"/>
        <v>#DIV/0!</v>
      </c>
      <c r="FF13" s="12">
        <f t="shared" si="44"/>
        <v>0</v>
      </c>
      <c r="FG13" s="20"/>
      <c r="FH13" s="16"/>
      <c r="FI13" s="17"/>
      <c r="FJ13" s="17"/>
      <c r="FK13" s="18"/>
      <c r="FL13" s="11" t="e">
        <f t="shared" si="45"/>
        <v>#DIV/0!</v>
      </c>
      <c r="FM13" s="12">
        <f t="shared" si="46"/>
        <v>0</v>
      </c>
      <c r="FN13" s="20"/>
      <c r="FO13" s="16"/>
      <c r="FP13" s="17"/>
      <c r="FQ13" s="17"/>
      <c r="FR13" s="18"/>
      <c r="FS13" s="11" t="e">
        <f t="shared" si="47"/>
        <v>#DIV/0!</v>
      </c>
      <c r="FT13" s="12">
        <f t="shared" si="48"/>
        <v>0</v>
      </c>
      <c r="FU13" s="20"/>
      <c r="FV13" s="16"/>
      <c r="FW13" s="17"/>
      <c r="FX13" s="17"/>
      <c r="FY13" s="18"/>
      <c r="FZ13" s="11" t="e">
        <f t="shared" si="49"/>
        <v>#DIV/0!</v>
      </c>
      <c r="GA13" s="12">
        <f t="shared" si="50"/>
        <v>0</v>
      </c>
      <c r="GB13" s="20"/>
      <c r="GC13" s="16"/>
      <c r="GD13" s="17"/>
      <c r="GE13" s="17"/>
      <c r="GF13" s="18"/>
      <c r="GG13" s="11" t="e">
        <f t="shared" si="51"/>
        <v>#DIV/0!</v>
      </c>
      <c r="GH13" s="12">
        <f t="shared" si="52"/>
        <v>0</v>
      </c>
      <c r="GI13" s="20"/>
      <c r="GJ13" s="16"/>
      <c r="GK13" s="17"/>
      <c r="GL13" s="17"/>
      <c r="GM13" s="18"/>
      <c r="GN13" s="11" t="e">
        <f t="shared" si="53"/>
        <v>#DIV/0!</v>
      </c>
      <c r="GO13" s="12">
        <f t="shared" si="54"/>
        <v>0</v>
      </c>
      <c r="GP13" s="20"/>
      <c r="GQ13" s="16"/>
      <c r="GR13" s="17"/>
      <c r="GS13" s="17"/>
      <c r="GT13" s="18"/>
      <c r="GU13" s="11" t="e">
        <f t="shared" si="55"/>
        <v>#DIV/0!</v>
      </c>
      <c r="GV13" s="12">
        <f t="shared" si="56"/>
        <v>0</v>
      </c>
    </row>
    <row r="14" spans="1:204" s="19" customFormat="1" x14ac:dyDescent="0.15">
      <c r="A14" s="15">
        <v>11</v>
      </c>
      <c r="B14" s="16"/>
      <c r="C14" s="16"/>
      <c r="D14" s="17"/>
      <c r="E14" s="17"/>
      <c r="F14" s="18"/>
      <c r="G14" s="11" t="e">
        <f t="shared" si="57"/>
        <v>#DIV/0!</v>
      </c>
      <c r="H14" s="12">
        <f t="shared" si="0"/>
        <v>0</v>
      </c>
      <c r="I14" s="20"/>
      <c r="J14" s="16"/>
      <c r="K14" s="17"/>
      <c r="L14" s="17"/>
      <c r="M14" s="18"/>
      <c r="N14" s="11" t="e">
        <f t="shared" si="1"/>
        <v>#DIV/0!</v>
      </c>
      <c r="O14" s="12">
        <f t="shared" si="2"/>
        <v>0</v>
      </c>
      <c r="P14" s="20"/>
      <c r="Q14" s="16"/>
      <c r="R14" s="17"/>
      <c r="S14" s="17"/>
      <c r="T14" s="18"/>
      <c r="U14" s="11" t="e">
        <f t="shared" si="3"/>
        <v>#DIV/0!</v>
      </c>
      <c r="V14" s="12">
        <f t="shared" si="4"/>
        <v>0</v>
      </c>
      <c r="W14" s="20"/>
      <c r="X14" s="16"/>
      <c r="Y14" s="17"/>
      <c r="Z14" s="17"/>
      <c r="AA14" s="18"/>
      <c r="AB14" s="11" t="e">
        <f t="shared" si="5"/>
        <v>#DIV/0!</v>
      </c>
      <c r="AC14" s="12">
        <f t="shared" si="6"/>
        <v>0</v>
      </c>
      <c r="AD14" s="20"/>
      <c r="AE14" s="16"/>
      <c r="AF14" s="17"/>
      <c r="AG14" s="17"/>
      <c r="AH14" s="18"/>
      <c r="AI14" s="11" t="e">
        <f t="shared" si="7"/>
        <v>#DIV/0!</v>
      </c>
      <c r="AJ14" s="12">
        <f t="shared" si="8"/>
        <v>0</v>
      </c>
      <c r="AK14" s="20"/>
      <c r="AL14" s="16"/>
      <c r="AM14" s="17"/>
      <c r="AN14" s="17"/>
      <c r="AO14" s="18"/>
      <c r="AP14" s="11" t="e">
        <f t="shared" si="9"/>
        <v>#DIV/0!</v>
      </c>
      <c r="AQ14" s="12">
        <f t="shared" si="10"/>
        <v>0</v>
      </c>
      <c r="AR14" s="20"/>
      <c r="AS14" s="16"/>
      <c r="AT14" s="17"/>
      <c r="AU14" s="17"/>
      <c r="AV14" s="18"/>
      <c r="AW14" s="11" t="e">
        <f t="shared" si="11"/>
        <v>#DIV/0!</v>
      </c>
      <c r="AX14" s="12">
        <f t="shared" si="12"/>
        <v>0</v>
      </c>
      <c r="AY14" s="20"/>
      <c r="AZ14" s="16"/>
      <c r="BA14" s="17"/>
      <c r="BB14" s="17"/>
      <c r="BC14" s="18"/>
      <c r="BD14" s="11" t="e">
        <f t="shared" si="13"/>
        <v>#DIV/0!</v>
      </c>
      <c r="BE14" s="12">
        <f t="shared" si="14"/>
        <v>0</v>
      </c>
      <c r="BF14" s="20"/>
      <c r="BG14" s="16"/>
      <c r="BH14" s="17"/>
      <c r="BI14" s="17"/>
      <c r="BJ14" s="18"/>
      <c r="BK14" s="11" t="e">
        <f t="shared" si="15"/>
        <v>#DIV/0!</v>
      </c>
      <c r="BL14" s="12">
        <f t="shared" si="16"/>
        <v>0</v>
      </c>
      <c r="BM14" s="20"/>
      <c r="BN14" s="16"/>
      <c r="BO14" s="17"/>
      <c r="BP14" s="17"/>
      <c r="BQ14" s="18"/>
      <c r="BR14" s="11" t="e">
        <f t="shared" si="17"/>
        <v>#DIV/0!</v>
      </c>
      <c r="BS14" s="12">
        <f t="shared" si="18"/>
        <v>0</v>
      </c>
      <c r="BT14" s="20"/>
      <c r="BU14" s="16"/>
      <c r="BV14" s="17"/>
      <c r="BW14" s="17"/>
      <c r="BX14" s="18"/>
      <c r="BY14" s="11" t="e">
        <f t="shared" si="19"/>
        <v>#DIV/0!</v>
      </c>
      <c r="BZ14" s="12">
        <f t="shared" si="20"/>
        <v>0</v>
      </c>
      <c r="CA14" s="20"/>
      <c r="CB14" s="16"/>
      <c r="CC14" s="17"/>
      <c r="CD14" s="17"/>
      <c r="CE14" s="18"/>
      <c r="CF14" s="11" t="e">
        <f t="shared" si="21"/>
        <v>#DIV/0!</v>
      </c>
      <c r="CG14" s="12">
        <f t="shared" si="22"/>
        <v>0</v>
      </c>
      <c r="CH14" s="20"/>
      <c r="CI14" s="16"/>
      <c r="CJ14" s="17"/>
      <c r="CK14" s="17"/>
      <c r="CL14" s="18"/>
      <c r="CM14" s="11" t="e">
        <f t="shared" si="23"/>
        <v>#DIV/0!</v>
      </c>
      <c r="CN14" s="12">
        <f t="shared" si="24"/>
        <v>0</v>
      </c>
      <c r="CO14" s="20"/>
      <c r="CP14" s="16"/>
      <c r="CQ14" s="17"/>
      <c r="CR14" s="17"/>
      <c r="CS14" s="18"/>
      <c r="CT14" s="11" t="e">
        <f t="shared" si="25"/>
        <v>#DIV/0!</v>
      </c>
      <c r="CU14" s="12">
        <f t="shared" si="26"/>
        <v>0</v>
      </c>
      <c r="CV14" s="20"/>
      <c r="CW14" s="16"/>
      <c r="CX14" s="17"/>
      <c r="CY14" s="17"/>
      <c r="CZ14" s="18"/>
      <c r="DA14" s="11" t="e">
        <f t="shared" si="27"/>
        <v>#DIV/0!</v>
      </c>
      <c r="DB14" s="12">
        <f t="shared" si="28"/>
        <v>0</v>
      </c>
      <c r="DC14" s="20"/>
      <c r="DD14" s="16"/>
      <c r="DE14" s="17"/>
      <c r="DF14" s="17"/>
      <c r="DG14" s="18"/>
      <c r="DH14" s="11" t="e">
        <f t="shared" si="29"/>
        <v>#DIV/0!</v>
      </c>
      <c r="DI14" s="12">
        <f t="shared" si="30"/>
        <v>0</v>
      </c>
      <c r="DJ14" s="20"/>
      <c r="DK14" s="16"/>
      <c r="DL14" s="17"/>
      <c r="DM14" s="17"/>
      <c r="DN14" s="18"/>
      <c r="DO14" s="11" t="e">
        <f t="shared" si="31"/>
        <v>#DIV/0!</v>
      </c>
      <c r="DP14" s="12">
        <f t="shared" si="32"/>
        <v>0</v>
      </c>
      <c r="DQ14" s="20"/>
      <c r="DR14" s="16"/>
      <c r="DS14" s="17"/>
      <c r="DT14" s="17"/>
      <c r="DU14" s="18"/>
      <c r="DV14" s="11" t="e">
        <f t="shared" si="33"/>
        <v>#DIV/0!</v>
      </c>
      <c r="DW14" s="12">
        <f t="shared" si="34"/>
        <v>0</v>
      </c>
      <c r="DX14" s="20"/>
      <c r="DY14" s="16"/>
      <c r="DZ14" s="17"/>
      <c r="EA14" s="17"/>
      <c r="EB14" s="18"/>
      <c r="EC14" s="11" t="e">
        <f t="shared" si="35"/>
        <v>#DIV/0!</v>
      </c>
      <c r="ED14" s="12">
        <f t="shared" si="36"/>
        <v>0</v>
      </c>
      <c r="EE14" s="20"/>
      <c r="EF14" s="16"/>
      <c r="EG14" s="17"/>
      <c r="EH14" s="17"/>
      <c r="EI14" s="18"/>
      <c r="EJ14" s="11" t="e">
        <f t="shared" si="37"/>
        <v>#DIV/0!</v>
      </c>
      <c r="EK14" s="12">
        <f t="shared" si="38"/>
        <v>0</v>
      </c>
      <c r="EL14" s="20"/>
      <c r="EM14" s="16"/>
      <c r="EN14" s="17"/>
      <c r="EO14" s="17"/>
      <c r="EP14" s="18"/>
      <c r="EQ14" s="11" t="e">
        <f t="shared" si="39"/>
        <v>#DIV/0!</v>
      </c>
      <c r="ER14" s="12">
        <f t="shared" si="40"/>
        <v>0</v>
      </c>
      <c r="ES14" s="20"/>
      <c r="ET14" s="16"/>
      <c r="EU14" s="17"/>
      <c r="EV14" s="17"/>
      <c r="EW14" s="18"/>
      <c r="EX14" s="11" t="e">
        <f t="shared" si="41"/>
        <v>#DIV/0!</v>
      </c>
      <c r="EY14" s="12">
        <f t="shared" si="42"/>
        <v>0</v>
      </c>
      <c r="EZ14" s="20"/>
      <c r="FA14" s="16"/>
      <c r="FB14" s="17"/>
      <c r="FC14" s="17"/>
      <c r="FD14" s="18"/>
      <c r="FE14" s="11" t="e">
        <f t="shared" si="43"/>
        <v>#DIV/0!</v>
      </c>
      <c r="FF14" s="12">
        <f t="shared" si="44"/>
        <v>0</v>
      </c>
      <c r="FG14" s="20"/>
      <c r="FH14" s="16"/>
      <c r="FI14" s="17"/>
      <c r="FJ14" s="17"/>
      <c r="FK14" s="18"/>
      <c r="FL14" s="11" t="e">
        <f t="shared" si="45"/>
        <v>#DIV/0!</v>
      </c>
      <c r="FM14" s="12">
        <f t="shared" si="46"/>
        <v>0</v>
      </c>
      <c r="FN14" s="20"/>
      <c r="FO14" s="16"/>
      <c r="FP14" s="17"/>
      <c r="FQ14" s="17"/>
      <c r="FR14" s="18"/>
      <c r="FS14" s="11" t="e">
        <f t="shared" si="47"/>
        <v>#DIV/0!</v>
      </c>
      <c r="FT14" s="12">
        <f t="shared" si="48"/>
        <v>0</v>
      </c>
      <c r="FU14" s="20"/>
      <c r="FV14" s="16"/>
      <c r="FW14" s="17"/>
      <c r="FX14" s="17"/>
      <c r="FY14" s="18"/>
      <c r="FZ14" s="11" t="e">
        <f t="shared" si="49"/>
        <v>#DIV/0!</v>
      </c>
      <c r="GA14" s="12">
        <f t="shared" si="50"/>
        <v>0</v>
      </c>
      <c r="GB14" s="20"/>
      <c r="GC14" s="16"/>
      <c r="GD14" s="17"/>
      <c r="GE14" s="17"/>
      <c r="GF14" s="18"/>
      <c r="GG14" s="11" t="e">
        <f t="shared" si="51"/>
        <v>#DIV/0!</v>
      </c>
      <c r="GH14" s="12">
        <f t="shared" si="52"/>
        <v>0</v>
      </c>
      <c r="GI14" s="20"/>
      <c r="GJ14" s="16"/>
      <c r="GK14" s="17"/>
      <c r="GL14" s="17"/>
      <c r="GM14" s="18"/>
      <c r="GN14" s="11" t="e">
        <f t="shared" si="53"/>
        <v>#DIV/0!</v>
      </c>
      <c r="GO14" s="12">
        <f t="shared" si="54"/>
        <v>0</v>
      </c>
      <c r="GP14" s="20"/>
      <c r="GQ14" s="16"/>
      <c r="GR14" s="17"/>
      <c r="GS14" s="17"/>
      <c r="GT14" s="18"/>
      <c r="GU14" s="11" t="e">
        <f t="shared" si="55"/>
        <v>#DIV/0!</v>
      </c>
      <c r="GV14" s="12">
        <f t="shared" si="56"/>
        <v>0</v>
      </c>
    </row>
    <row r="15" spans="1:204" s="19" customFormat="1" x14ac:dyDescent="0.15">
      <c r="A15" s="15">
        <v>12</v>
      </c>
      <c r="B15" s="16"/>
      <c r="C15" s="16"/>
      <c r="D15" s="17"/>
      <c r="E15" s="17"/>
      <c r="F15" s="18"/>
      <c r="G15" s="11" t="e">
        <f t="shared" si="57"/>
        <v>#DIV/0!</v>
      </c>
      <c r="H15" s="12">
        <f t="shared" si="0"/>
        <v>0</v>
      </c>
      <c r="I15" s="20"/>
      <c r="J15" s="16"/>
      <c r="K15" s="17"/>
      <c r="L15" s="17"/>
      <c r="M15" s="18"/>
      <c r="N15" s="11" t="e">
        <f t="shared" si="1"/>
        <v>#DIV/0!</v>
      </c>
      <c r="O15" s="12">
        <f t="shared" si="2"/>
        <v>0</v>
      </c>
      <c r="P15" s="20"/>
      <c r="Q15" s="16"/>
      <c r="R15" s="17"/>
      <c r="S15" s="17"/>
      <c r="T15" s="18"/>
      <c r="U15" s="11" t="e">
        <f t="shared" si="3"/>
        <v>#DIV/0!</v>
      </c>
      <c r="V15" s="12">
        <f t="shared" si="4"/>
        <v>0</v>
      </c>
      <c r="W15" s="20"/>
      <c r="X15" s="16"/>
      <c r="Y15" s="17"/>
      <c r="Z15" s="17"/>
      <c r="AA15" s="18"/>
      <c r="AB15" s="11" t="e">
        <f t="shared" si="5"/>
        <v>#DIV/0!</v>
      </c>
      <c r="AC15" s="12">
        <f t="shared" si="6"/>
        <v>0</v>
      </c>
      <c r="AD15" s="20"/>
      <c r="AE15" s="16"/>
      <c r="AF15" s="17"/>
      <c r="AG15" s="17"/>
      <c r="AH15" s="18"/>
      <c r="AI15" s="11" t="e">
        <f t="shared" si="7"/>
        <v>#DIV/0!</v>
      </c>
      <c r="AJ15" s="12">
        <f t="shared" si="8"/>
        <v>0</v>
      </c>
      <c r="AK15" s="20"/>
      <c r="AL15" s="16"/>
      <c r="AM15" s="17"/>
      <c r="AN15" s="17"/>
      <c r="AO15" s="18"/>
      <c r="AP15" s="11" t="e">
        <f t="shared" si="9"/>
        <v>#DIV/0!</v>
      </c>
      <c r="AQ15" s="12">
        <f t="shared" si="10"/>
        <v>0</v>
      </c>
      <c r="AR15" s="20"/>
      <c r="AS15" s="16"/>
      <c r="AT15" s="17"/>
      <c r="AU15" s="17"/>
      <c r="AV15" s="18"/>
      <c r="AW15" s="11" t="e">
        <f t="shared" si="11"/>
        <v>#DIV/0!</v>
      </c>
      <c r="AX15" s="12">
        <f t="shared" si="12"/>
        <v>0</v>
      </c>
      <c r="AY15" s="20"/>
      <c r="AZ15" s="16"/>
      <c r="BA15" s="17"/>
      <c r="BB15" s="17"/>
      <c r="BC15" s="18"/>
      <c r="BD15" s="11" t="e">
        <f t="shared" si="13"/>
        <v>#DIV/0!</v>
      </c>
      <c r="BE15" s="12">
        <f t="shared" si="14"/>
        <v>0</v>
      </c>
      <c r="BF15" s="20"/>
      <c r="BG15" s="16"/>
      <c r="BH15" s="17"/>
      <c r="BI15" s="17"/>
      <c r="BJ15" s="18"/>
      <c r="BK15" s="11" t="e">
        <f t="shared" si="15"/>
        <v>#DIV/0!</v>
      </c>
      <c r="BL15" s="12">
        <f t="shared" si="16"/>
        <v>0</v>
      </c>
      <c r="BM15" s="20"/>
      <c r="BN15" s="16"/>
      <c r="BO15" s="17"/>
      <c r="BP15" s="17"/>
      <c r="BQ15" s="18"/>
      <c r="BR15" s="11" t="e">
        <f t="shared" si="17"/>
        <v>#DIV/0!</v>
      </c>
      <c r="BS15" s="12">
        <f t="shared" si="18"/>
        <v>0</v>
      </c>
      <c r="BT15" s="20"/>
      <c r="BU15" s="16"/>
      <c r="BV15" s="17"/>
      <c r="BW15" s="17"/>
      <c r="BX15" s="18"/>
      <c r="BY15" s="11" t="e">
        <f t="shared" si="19"/>
        <v>#DIV/0!</v>
      </c>
      <c r="BZ15" s="12">
        <f t="shared" si="20"/>
        <v>0</v>
      </c>
      <c r="CA15" s="20"/>
      <c r="CB15" s="16"/>
      <c r="CC15" s="17"/>
      <c r="CD15" s="17"/>
      <c r="CE15" s="18"/>
      <c r="CF15" s="11" t="e">
        <f t="shared" si="21"/>
        <v>#DIV/0!</v>
      </c>
      <c r="CG15" s="12">
        <f t="shared" si="22"/>
        <v>0</v>
      </c>
      <c r="CH15" s="20"/>
      <c r="CI15" s="16"/>
      <c r="CJ15" s="17"/>
      <c r="CK15" s="17"/>
      <c r="CL15" s="18"/>
      <c r="CM15" s="11" t="e">
        <f t="shared" si="23"/>
        <v>#DIV/0!</v>
      </c>
      <c r="CN15" s="12">
        <f t="shared" si="24"/>
        <v>0</v>
      </c>
      <c r="CO15" s="20"/>
      <c r="CP15" s="16"/>
      <c r="CQ15" s="17"/>
      <c r="CR15" s="17"/>
      <c r="CS15" s="18"/>
      <c r="CT15" s="11" t="e">
        <f t="shared" si="25"/>
        <v>#DIV/0!</v>
      </c>
      <c r="CU15" s="12">
        <f t="shared" si="26"/>
        <v>0</v>
      </c>
      <c r="CV15" s="20"/>
      <c r="CW15" s="16"/>
      <c r="CX15" s="17"/>
      <c r="CY15" s="17"/>
      <c r="CZ15" s="18"/>
      <c r="DA15" s="11" t="e">
        <f t="shared" si="27"/>
        <v>#DIV/0!</v>
      </c>
      <c r="DB15" s="12">
        <f t="shared" si="28"/>
        <v>0</v>
      </c>
      <c r="DC15" s="20"/>
      <c r="DD15" s="16"/>
      <c r="DE15" s="17"/>
      <c r="DF15" s="17"/>
      <c r="DG15" s="18"/>
      <c r="DH15" s="11" t="e">
        <f t="shared" si="29"/>
        <v>#DIV/0!</v>
      </c>
      <c r="DI15" s="12">
        <f t="shared" si="30"/>
        <v>0</v>
      </c>
      <c r="DJ15" s="20"/>
      <c r="DK15" s="16"/>
      <c r="DL15" s="17"/>
      <c r="DM15" s="17"/>
      <c r="DN15" s="18"/>
      <c r="DO15" s="11" t="e">
        <f t="shared" si="31"/>
        <v>#DIV/0!</v>
      </c>
      <c r="DP15" s="12">
        <f t="shared" si="32"/>
        <v>0</v>
      </c>
      <c r="DQ15" s="20"/>
      <c r="DR15" s="16"/>
      <c r="DS15" s="17"/>
      <c r="DT15" s="17"/>
      <c r="DU15" s="18"/>
      <c r="DV15" s="11" t="e">
        <f t="shared" si="33"/>
        <v>#DIV/0!</v>
      </c>
      <c r="DW15" s="12">
        <f t="shared" si="34"/>
        <v>0</v>
      </c>
      <c r="DX15" s="20"/>
      <c r="DY15" s="16"/>
      <c r="DZ15" s="17"/>
      <c r="EA15" s="17"/>
      <c r="EB15" s="18"/>
      <c r="EC15" s="11" t="e">
        <f t="shared" si="35"/>
        <v>#DIV/0!</v>
      </c>
      <c r="ED15" s="12">
        <f t="shared" si="36"/>
        <v>0</v>
      </c>
      <c r="EE15" s="20"/>
      <c r="EF15" s="16"/>
      <c r="EG15" s="17"/>
      <c r="EH15" s="17"/>
      <c r="EI15" s="18"/>
      <c r="EJ15" s="11" t="e">
        <f t="shared" si="37"/>
        <v>#DIV/0!</v>
      </c>
      <c r="EK15" s="12">
        <f t="shared" si="38"/>
        <v>0</v>
      </c>
      <c r="EL15" s="20"/>
      <c r="EM15" s="16"/>
      <c r="EN15" s="17"/>
      <c r="EO15" s="17"/>
      <c r="EP15" s="18"/>
      <c r="EQ15" s="11" t="e">
        <f t="shared" si="39"/>
        <v>#DIV/0!</v>
      </c>
      <c r="ER15" s="12">
        <f t="shared" si="40"/>
        <v>0</v>
      </c>
      <c r="ES15" s="20"/>
      <c r="ET15" s="16"/>
      <c r="EU15" s="17"/>
      <c r="EV15" s="17"/>
      <c r="EW15" s="18"/>
      <c r="EX15" s="11" t="e">
        <f t="shared" si="41"/>
        <v>#DIV/0!</v>
      </c>
      <c r="EY15" s="12">
        <f t="shared" si="42"/>
        <v>0</v>
      </c>
      <c r="EZ15" s="20"/>
      <c r="FA15" s="16"/>
      <c r="FB15" s="17"/>
      <c r="FC15" s="17"/>
      <c r="FD15" s="18"/>
      <c r="FE15" s="11" t="e">
        <f t="shared" si="43"/>
        <v>#DIV/0!</v>
      </c>
      <c r="FF15" s="12">
        <f t="shared" si="44"/>
        <v>0</v>
      </c>
      <c r="FG15" s="20"/>
      <c r="FH15" s="16"/>
      <c r="FI15" s="17"/>
      <c r="FJ15" s="17"/>
      <c r="FK15" s="18"/>
      <c r="FL15" s="11" t="e">
        <f t="shared" si="45"/>
        <v>#DIV/0!</v>
      </c>
      <c r="FM15" s="12">
        <f t="shared" si="46"/>
        <v>0</v>
      </c>
      <c r="FN15" s="20"/>
      <c r="FO15" s="16"/>
      <c r="FP15" s="17"/>
      <c r="FQ15" s="17"/>
      <c r="FR15" s="18"/>
      <c r="FS15" s="11" t="e">
        <f t="shared" si="47"/>
        <v>#DIV/0!</v>
      </c>
      <c r="FT15" s="12">
        <f t="shared" si="48"/>
        <v>0</v>
      </c>
      <c r="FU15" s="20"/>
      <c r="FV15" s="16"/>
      <c r="FW15" s="17"/>
      <c r="FX15" s="17"/>
      <c r="FY15" s="18"/>
      <c r="FZ15" s="11" t="e">
        <f t="shared" si="49"/>
        <v>#DIV/0!</v>
      </c>
      <c r="GA15" s="12">
        <f t="shared" si="50"/>
        <v>0</v>
      </c>
      <c r="GB15" s="20"/>
      <c r="GC15" s="16"/>
      <c r="GD15" s="17"/>
      <c r="GE15" s="17"/>
      <c r="GF15" s="18"/>
      <c r="GG15" s="11" t="e">
        <f t="shared" si="51"/>
        <v>#DIV/0!</v>
      </c>
      <c r="GH15" s="12">
        <f t="shared" si="52"/>
        <v>0</v>
      </c>
      <c r="GI15" s="20"/>
      <c r="GJ15" s="16"/>
      <c r="GK15" s="17"/>
      <c r="GL15" s="17"/>
      <c r="GM15" s="18"/>
      <c r="GN15" s="11" t="e">
        <f t="shared" si="53"/>
        <v>#DIV/0!</v>
      </c>
      <c r="GO15" s="12">
        <f t="shared" si="54"/>
        <v>0</v>
      </c>
      <c r="GP15" s="20"/>
      <c r="GQ15" s="16"/>
      <c r="GR15" s="17"/>
      <c r="GS15" s="17"/>
      <c r="GT15" s="18"/>
      <c r="GU15" s="11" t="e">
        <f t="shared" si="55"/>
        <v>#DIV/0!</v>
      </c>
      <c r="GV15" s="12">
        <f t="shared" si="56"/>
        <v>0</v>
      </c>
    </row>
    <row r="16" spans="1:204" s="19" customFormat="1" x14ac:dyDescent="0.15">
      <c r="A16" s="15">
        <v>13</v>
      </c>
      <c r="B16" s="16"/>
      <c r="C16" s="16"/>
      <c r="D16" s="17"/>
      <c r="E16" s="17"/>
      <c r="F16" s="18"/>
      <c r="G16" s="11" t="e">
        <f t="shared" si="57"/>
        <v>#DIV/0!</v>
      </c>
      <c r="H16" s="12">
        <f t="shared" si="0"/>
        <v>0</v>
      </c>
      <c r="I16" s="20"/>
      <c r="J16" s="16"/>
      <c r="K16" s="17"/>
      <c r="L16" s="17"/>
      <c r="M16" s="18"/>
      <c r="N16" s="11" t="e">
        <f t="shared" si="1"/>
        <v>#DIV/0!</v>
      </c>
      <c r="O16" s="12">
        <f t="shared" si="2"/>
        <v>0</v>
      </c>
      <c r="P16" s="20"/>
      <c r="Q16" s="16"/>
      <c r="R16" s="17"/>
      <c r="S16" s="17"/>
      <c r="T16" s="18"/>
      <c r="U16" s="11" t="e">
        <f t="shared" si="3"/>
        <v>#DIV/0!</v>
      </c>
      <c r="V16" s="12">
        <f t="shared" si="4"/>
        <v>0</v>
      </c>
      <c r="W16" s="20"/>
      <c r="X16" s="16"/>
      <c r="Y16" s="17"/>
      <c r="Z16" s="17"/>
      <c r="AA16" s="18"/>
      <c r="AB16" s="11" t="e">
        <f t="shared" si="5"/>
        <v>#DIV/0!</v>
      </c>
      <c r="AC16" s="12">
        <f t="shared" si="6"/>
        <v>0</v>
      </c>
      <c r="AD16" s="20"/>
      <c r="AE16" s="16"/>
      <c r="AF16" s="17"/>
      <c r="AG16" s="17"/>
      <c r="AH16" s="18"/>
      <c r="AI16" s="11" t="e">
        <f t="shared" si="7"/>
        <v>#DIV/0!</v>
      </c>
      <c r="AJ16" s="12">
        <f t="shared" si="8"/>
        <v>0</v>
      </c>
      <c r="AK16" s="20"/>
      <c r="AL16" s="16"/>
      <c r="AM16" s="17"/>
      <c r="AN16" s="17"/>
      <c r="AO16" s="18"/>
      <c r="AP16" s="11" t="e">
        <f t="shared" si="9"/>
        <v>#DIV/0!</v>
      </c>
      <c r="AQ16" s="12">
        <f t="shared" si="10"/>
        <v>0</v>
      </c>
      <c r="AR16" s="20"/>
      <c r="AS16" s="16"/>
      <c r="AT16" s="17"/>
      <c r="AU16" s="17"/>
      <c r="AV16" s="18"/>
      <c r="AW16" s="11" t="e">
        <f t="shared" si="11"/>
        <v>#DIV/0!</v>
      </c>
      <c r="AX16" s="12">
        <f t="shared" si="12"/>
        <v>0</v>
      </c>
      <c r="AY16" s="20"/>
      <c r="AZ16" s="16"/>
      <c r="BA16" s="17"/>
      <c r="BB16" s="17"/>
      <c r="BC16" s="18"/>
      <c r="BD16" s="11" t="e">
        <f t="shared" si="13"/>
        <v>#DIV/0!</v>
      </c>
      <c r="BE16" s="12">
        <f t="shared" si="14"/>
        <v>0</v>
      </c>
      <c r="BF16" s="20"/>
      <c r="BG16" s="16"/>
      <c r="BH16" s="17"/>
      <c r="BI16" s="17"/>
      <c r="BJ16" s="18"/>
      <c r="BK16" s="11" t="e">
        <f t="shared" si="15"/>
        <v>#DIV/0!</v>
      </c>
      <c r="BL16" s="12">
        <f t="shared" si="16"/>
        <v>0</v>
      </c>
      <c r="BM16" s="20"/>
      <c r="BN16" s="16"/>
      <c r="BO16" s="17"/>
      <c r="BP16" s="17"/>
      <c r="BQ16" s="18"/>
      <c r="BR16" s="11" t="e">
        <f t="shared" si="17"/>
        <v>#DIV/0!</v>
      </c>
      <c r="BS16" s="12">
        <f t="shared" si="18"/>
        <v>0</v>
      </c>
      <c r="BT16" s="20"/>
      <c r="BU16" s="16"/>
      <c r="BV16" s="17"/>
      <c r="BW16" s="17"/>
      <c r="BX16" s="18"/>
      <c r="BY16" s="11" t="e">
        <f t="shared" si="19"/>
        <v>#DIV/0!</v>
      </c>
      <c r="BZ16" s="12">
        <f t="shared" si="20"/>
        <v>0</v>
      </c>
      <c r="CA16" s="20"/>
      <c r="CB16" s="16"/>
      <c r="CC16" s="17"/>
      <c r="CD16" s="17"/>
      <c r="CE16" s="18"/>
      <c r="CF16" s="11" t="e">
        <f t="shared" si="21"/>
        <v>#DIV/0!</v>
      </c>
      <c r="CG16" s="12">
        <f t="shared" si="22"/>
        <v>0</v>
      </c>
      <c r="CH16" s="20"/>
      <c r="CI16" s="16"/>
      <c r="CJ16" s="17"/>
      <c r="CK16" s="17"/>
      <c r="CL16" s="18"/>
      <c r="CM16" s="11" t="e">
        <f t="shared" si="23"/>
        <v>#DIV/0!</v>
      </c>
      <c r="CN16" s="12">
        <f t="shared" si="24"/>
        <v>0</v>
      </c>
      <c r="CO16" s="20"/>
      <c r="CP16" s="16"/>
      <c r="CQ16" s="17"/>
      <c r="CR16" s="17"/>
      <c r="CS16" s="18"/>
      <c r="CT16" s="11" t="e">
        <f t="shared" si="25"/>
        <v>#DIV/0!</v>
      </c>
      <c r="CU16" s="12">
        <f t="shared" si="26"/>
        <v>0</v>
      </c>
      <c r="CV16" s="20"/>
      <c r="CW16" s="16"/>
      <c r="CX16" s="17"/>
      <c r="CY16" s="17"/>
      <c r="CZ16" s="18"/>
      <c r="DA16" s="11" t="e">
        <f t="shared" si="27"/>
        <v>#DIV/0!</v>
      </c>
      <c r="DB16" s="12">
        <f t="shared" si="28"/>
        <v>0</v>
      </c>
      <c r="DC16" s="20"/>
      <c r="DD16" s="16"/>
      <c r="DE16" s="17"/>
      <c r="DF16" s="17"/>
      <c r="DG16" s="18"/>
      <c r="DH16" s="11" t="e">
        <f t="shared" si="29"/>
        <v>#DIV/0!</v>
      </c>
      <c r="DI16" s="12">
        <f t="shared" si="30"/>
        <v>0</v>
      </c>
      <c r="DJ16" s="20"/>
      <c r="DK16" s="16"/>
      <c r="DL16" s="17"/>
      <c r="DM16" s="17"/>
      <c r="DN16" s="18"/>
      <c r="DO16" s="11" t="e">
        <f t="shared" si="31"/>
        <v>#DIV/0!</v>
      </c>
      <c r="DP16" s="12">
        <f t="shared" si="32"/>
        <v>0</v>
      </c>
      <c r="DQ16" s="20"/>
      <c r="DR16" s="16"/>
      <c r="DS16" s="17"/>
      <c r="DT16" s="17"/>
      <c r="DU16" s="18"/>
      <c r="DV16" s="11" t="e">
        <f t="shared" si="33"/>
        <v>#DIV/0!</v>
      </c>
      <c r="DW16" s="12">
        <f t="shared" si="34"/>
        <v>0</v>
      </c>
      <c r="DX16" s="20"/>
      <c r="DY16" s="16"/>
      <c r="DZ16" s="17"/>
      <c r="EA16" s="17"/>
      <c r="EB16" s="18"/>
      <c r="EC16" s="11" t="e">
        <f t="shared" si="35"/>
        <v>#DIV/0!</v>
      </c>
      <c r="ED16" s="12">
        <f t="shared" si="36"/>
        <v>0</v>
      </c>
      <c r="EE16" s="20"/>
      <c r="EF16" s="16"/>
      <c r="EG16" s="17"/>
      <c r="EH16" s="17"/>
      <c r="EI16" s="18"/>
      <c r="EJ16" s="11" t="e">
        <f t="shared" si="37"/>
        <v>#DIV/0!</v>
      </c>
      <c r="EK16" s="12">
        <f t="shared" si="38"/>
        <v>0</v>
      </c>
      <c r="EL16" s="20"/>
      <c r="EM16" s="16"/>
      <c r="EN16" s="17"/>
      <c r="EO16" s="17"/>
      <c r="EP16" s="18"/>
      <c r="EQ16" s="11" t="e">
        <f t="shared" si="39"/>
        <v>#DIV/0!</v>
      </c>
      <c r="ER16" s="12">
        <f t="shared" si="40"/>
        <v>0</v>
      </c>
      <c r="ES16" s="20"/>
      <c r="ET16" s="16"/>
      <c r="EU16" s="17"/>
      <c r="EV16" s="17"/>
      <c r="EW16" s="18"/>
      <c r="EX16" s="11" t="e">
        <f t="shared" si="41"/>
        <v>#DIV/0!</v>
      </c>
      <c r="EY16" s="12">
        <f t="shared" si="42"/>
        <v>0</v>
      </c>
      <c r="EZ16" s="20"/>
      <c r="FA16" s="16"/>
      <c r="FB16" s="17"/>
      <c r="FC16" s="17"/>
      <c r="FD16" s="18"/>
      <c r="FE16" s="11" t="e">
        <f t="shared" si="43"/>
        <v>#DIV/0!</v>
      </c>
      <c r="FF16" s="12">
        <f t="shared" si="44"/>
        <v>0</v>
      </c>
      <c r="FG16" s="20"/>
      <c r="FH16" s="16"/>
      <c r="FI16" s="17"/>
      <c r="FJ16" s="17"/>
      <c r="FK16" s="18"/>
      <c r="FL16" s="11" t="e">
        <f t="shared" si="45"/>
        <v>#DIV/0!</v>
      </c>
      <c r="FM16" s="12">
        <f t="shared" si="46"/>
        <v>0</v>
      </c>
      <c r="FN16" s="20"/>
      <c r="FO16" s="16"/>
      <c r="FP16" s="17"/>
      <c r="FQ16" s="17"/>
      <c r="FR16" s="18"/>
      <c r="FS16" s="11" t="e">
        <f t="shared" si="47"/>
        <v>#DIV/0!</v>
      </c>
      <c r="FT16" s="12">
        <f t="shared" si="48"/>
        <v>0</v>
      </c>
      <c r="FU16" s="20"/>
      <c r="FV16" s="16"/>
      <c r="FW16" s="17"/>
      <c r="FX16" s="17"/>
      <c r="FY16" s="18"/>
      <c r="FZ16" s="11" t="e">
        <f t="shared" si="49"/>
        <v>#DIV/0!</v>
      </c>
      <c r="GA16" s="12">
        <f t="shared" si="50"/>
        <v>0</v>
      </c>
      <c r="GB16" s="20"/>
      <c r="GC16" s="16"/>
      <c r="GD16" s="17"/>
      <c r="GE16" s="17"/>
      <c r="GF16" s="18"/>
      <c r="GG16" s="11" t="e">
        <f t="shared" si="51"/>
        <v>#DIV/0!</v>
      </c>
      <c r="GH16" s="12">
        <f t="shared" si="52"/>
        <v>0</v>
      </c>
      <c r="GI16" s="20"/>
      <c r="GJ16" s="16"/>
      <c r="GK16" s="17"/>
      <c r="GL16" s="17"/>
      <c r="GM16" s="18"/>
      <c r="GN16" s="11" t="e">
        <f t="shared" si="53"/>
        <v>#DIV/0!</v>
      </c>
      <c r="GO16" s="12">
        <f t="shared" si="54"/>
        <v>0</v>
      </c>
      <c r="GP16" s="20"/>
      <c r="GQ16" s="16"/>
      <c r="GR16" s="17"/>
      <c r="GS16" s="17"/>
      <c r="GT16" s="18"/>
      <c r="GU16" s="11" t="e">
        <f t="shared" si="55"/>
        <v>#DIV/0!</v>
      </c>
      <c r="GV16" s="12">
        <f t="shared" si="56"/>
        <v>0</v>
      </c>
    </row>
    <row r="17" spans="1:204" s="19" customFormat="1" x14ac:dyDescent="0.15">
      <c r="A17" s="15">
        <v>14</v>
      </c>
      <c r="B17" s="16"/>
      <c r="C17" s="16"/>
      <c r="D17" s="17"/>
      <c r="E17" s="17"/>
      <c r="F17" s="18"/>
      <c r="G17" s="11" t="e">
        <f t="shared" si="57"/>
        <v>#DIV/0!</v>
      </c>
      <c r="H17" s="12">
        <f t="shared" si="0"/>
        <v>0</v>
      </c>
      <c r="I17" s="20"/>
      <c r="J17" s="16"/>
      <c r="K17" s="17"/>
      <c r="L17" s="17"/>
      <c r="M17" s="18"/>
      <c r="N17" s="11" t="e">
        <f t="shared" si="1"/>
        <v>#DIV/0!</v>
      </c>
      <c r="O17" s="12">
        <f t="shared" si="2"/>
        <v>0</v>
      </c>
      <c r="P17" s="20"/>
      <c r="Q17" s="16"/>
      <c r="R17" s="17"/>
      <c r="S17" s="17"/>
      <c r="T17" s="18"/>
      <c r="U17" s="11" t="e">
        <f t="shared" si="3"/>
        <v>#DIV/0!</v>
      </c>
      <c r="V17" s="12">
        <f t="shared" si="4"/>
        <v>0</v>
      </c>
      <c r="W17" s="20"/>
      <c r="X17" s="16"/>
      <c r="Y17" s="17"/>
      <c r="Z17" s="17"/>
      <c r="AA17" s="18"/>
      <c r="AB17" s="11" t="e">
        <f t="shared" si="5"/>
        <v>#DIV/0!</v>
      </c>
      <c r="AC17" s="12">
        <f t="shared" si="6"/>
        <v>0</v>
      </c>
      <c r="AD17" s="20"/>
      <c r="AE17" s="16"/>
      <c r="AF17" s="17"/>
      <c r="AG17" s="17"/>
      <c r="AH17" s="18"/>
      <c r="AI17" s="11" t="e">
        <f t="shared" si="7"/>
        <v>#DIV/0!</v>
      </c>
      <c r="AJ17" s="12">
        <f t="shared" si="8"/>
        <v>0</v>
      </c>
      <c r="AK17" s="20"/>
      <c r="AL17" s="16"/>
      <c r="AM17" s="17"/>
      <c r="AN17" s="17"/>
      <c r="AO17" s="18"/>
      <c r="AP17" s="11" t="e">
        <f t="shared" si="9"/>
        <v>#DIV/0!</v>
      </c>
      <c r="AQ17" s="12">
        <f t="shared" si="10"/>
        <v>0</v>
      </c>
      <c r="AR17" s="20"/>
      <c r="AS17" s="16"/>
      <c r="AT17" s="17"/>
      <c r="AU17" s="17"/>
      <c r="AV17" s="18"/>
      <c r="AW17" s="11" t="e">
        <f t="shared" si="11"/>
        <v>#DIV/0!</v>
      </c>
      <c r="AX17" s="12">
        <f t="shared" si="12"/>
        <v>0</v>
      </c>
      <c r="AY17" s="20"/>
      <c r="AZ17" s="16"/>
      <c r="BA17" s="17"/>
      <c r="BB17" s="17"/>
      <c r="BC17" s="18"/>
      <c r="BD17" s="11" t="e">
        <f t="shared" si="13"/>
        <v>#DIV/0!</v>
      </c>
      <c r="BE17" s="12">
        <f t="shared" si="14"/>
        <v>0</v>
      </c>
      <c r="BF17" s="20"/>
      <c r="BG17" s="16"/>
      <c r="BH17" s="17"/>
      <c r="BI17" s="17"/>
      <c r="BJ17" s="18"/>
      <c r="BK17" s="11" t="e">
        <f t="shared" si="15"/>
        <v>#DIV/0!</v>
      </c>
      <c r="BL17" s="12">
        <f t="shared" si="16"/>
        <v>0</v>
      </c>
      <c r="BM17" s="20"/>
      <c r="BN17" s="16"/>
      <c r="BO17" s="17"/>
      <c r="BP17" s="17"/>
      <c r="BQ17" s="18"/>
      <c r="BR17" s="11" t="e">
        <f t="shared" si="17"/>
        <v>#DIV/0!</v>
      </c>
      <c r="BS17" s="12">
        <f t="shared" si="18"/>
        <v>0</v>
      </c>
      <c r="BT17" s="20"/>
      <c r="BU17" s="16"/>
      <c r="BV17" s="17"/>
      <c r="BW17" s="17"/>
      <c r="BX17" s="18"/>
      <c r="BY17" s="11" t="e">
        <f t="shared" si="19"/>
        <v>#DIV/0!</v>
      </c>
      <c r="BZ17" s="12">
        <f t="shared" si="20"/>
        <v>0</v>
      </c>
      <c r="CA17" s="20"/>
      <c r="CB17" s="16"/>
      <c r="CC17" s="17"/>
      <c r="CD17" s="17"/>
      <c r="CE17" s="18"/>
      <c r="CF17" s="11" t="e">
        <f t="shared" si="21"/>
        <v>#DIV/0!</v>
      </c>
      <c r="CG17" s="12">
        <f t="shared" si="22"/>
        <v>0</v>
      </c>
      <c r="CH17" s="20"/>
      <c r="CI17" s="16"/>
      <c r="CJ17" s="17"/>
      <c r="CK17" s="17"/>
      <c r="CL17" s="18"/>
      <c r="CM17" s="11" t="e">
        <f t="shared" si="23"/>
        <v>#DIV/0!</v>
      </c>
      <c r="CN17" s="12">
        <f t="shared" si="24"/>
        <v>0</v>
      </c>
      <c r="CO17" s="20"/>
      <c r="CP17" s="16"/>
      <c r="CQ17" s="17"/>
      <c r="CR17" s="17"/>
      <c r="CS17" s="18"/>
      <c r="CT17" s="11" t="e">
        <f t="shared" si="25"/>
        <v>#DIV/0!</v>
      </c>
      <c r="CU17" s="12">
        <f t="shared" si="26"/>
        <v>0</v>
      </c>
      <c r="CV17" s="20"/>
      <c r="CW17" s="16"/>
      <c r="CX17" s="17"/>
      <c r="CY17" s="17"/>
      <c r="CZ17" s="18"/>
      <c r="DA17" s="11" t="e">
        <f t="shared" si="27"/>
        <v>#DIV/0!</v>
      </c>
      <c r="DB17" s="12">
        <f t="shared" si="28"/>
        <v>0</v>
      </c>
      <c r="DC17" s="20"/>
      <c r="DD17" s="16"/>
      <c r="DE17" s="17"/>
      <c r="DF17" s="17"/>
      <c r="DG17" s="18"/>
      <c r="DH17" s="11" t="e">
        <f t="shared" si="29"/>
        <v>#DIV/0!</v>
      </c>
      <c r="DI17" s="12">
        <f t="shared" si="30"/>
        <v>0</v>
      </c>
      <c r="DJ17" s="20"/>
      <c r="DK17" s="16"/>
      <c r="DL17" s="17"/>
      <c r="DM17" s="17"/>
      <c r="DN17" s="18"/>
      <c r="DO17" s="11" t="e">
        <f t="shared" si="31"/>
        <v>#DIV/0!</v>
      </c>
      <c r="DP17" s="12">
        <f t="shared" si="32"/>
        <v>0</v>
      </c>
      <c r="DQ17" s="20"/>
      <c r="DR17" s="16"/>
      <c r="DS17" s="17"/>
      <c r="DT17" s="17"/>
      <c r="DU17" s="18"/>
      <c r="DV17" s="11" t="e">
        <f t="shared" si="33"/>
        <v>#DIV/0!</v>
      </c>
      <c r="DW17" s="12">
        <f t="shared" si="34"/>
        <v>0</v>
      </c>
      <c r="DX17" s="20"/>
      <c r="DY17" s="16"/>
      <c r="DZ17" s="17"/>
      <c r="EA17" s="17"/>
      <c r="EB17" s="18"/>
      <c r="EC17" s="11" t="e">
        <f t="shared" si="35"/>
        <v>#DIV/0!</v>
      </c>
      <c r="ED17" s="12">
        <f t="shared" si="36"/>
        <v>0</v>
      </c>
      <c r="EE17" s="20"/>
      <c r="EF17" s="16"/>
      <c r="EG17" s="17"/>
      <c r="EH17" s="17"/>
      <c r="EI17" s="18"/>
      <c r="EJ17" s="11" t="e">
        <f t="shared" si="37"/>
        <v>#DIV/0!</v>
      </c>
      <c r="EK17" s="12">
        <f t="shared" si="38"/>
        <v>0</v>
      </c>
      <c r="EL17" s="20"/>
      <c r="EM17" s="16"/>
      <c r="EN17" s="17"/>
      <c r="EO17" s="17"/>
      <c r="EP17" s="18"/>
      <c r="EQ17" s="11" t="e">
        <f t="shared" si="39"/>
        <v>#DIV/0!</v>
      </c>
      <c r="ER17" s="12">
        <f t="shared" si="40"/>
        <v>0</v>
      </c>
      <c r="ES17" s="20"/>
      <c r="ET17" s="16"/>
      <c r="EU17" s="17"/>
      <c r="EV17" s="17"/>
      <c r="EW17" s="18"/>
      <c r="EX17" s="11" t="e">
        <f t="shared" si="41"/>
        <v>#DIV/0!</v>
      </c>
      <c r="EY17" s="12">
        <f t="shared" si="42"/>
        <v>0</v>
      </c>
      <c r="EZ17" s="20"/>
      <c r="FA17" s="16"/>
      <c r="FB17" s="17"/>
      <c r="FC17" s="17"/>
      <c r="FD17" s="18"/>
      <c r="FE17" s="11" t="e">
        <f t="shared" si="43"/>
        <v>#DIV/0!</v>
      </c>
      <c r="FF17" s="12">
        <f t="shared" si="44"/>
        <v>0</v>
      </c>
      <c r="FG17" s="20"/>
      <c r="FH17" s="16"/>
      <c r="FI17" s="17"/>
      <c r="FJ17" s="17"/>
      <c r="FK17" s="18"/>
      <c r="FL17" s="11" t="e">
        <f t="shared" si="45"/>
        <v>#DIV/0!</v>
      </c>
      <c r="FM17" s="12">
        <f t="shared" si="46"/>
        <v>0</v>
      </c>
      <c r="FN17" s="20"/>
      <c r="FO17" s="16"/>
      <c r="FP17" s="17"/>
      <c r="FQ17" s="17"/>
      <c r="FR17" s="18"/>
      <c r="FS17" s="11" t="e">
        <f t="shared" si="47"/>
        <v>#DIV/0!</v>
      </c>
      <c r="FT17" s="12">
        <f t="shared" si="48"/>
        <v>0</v>
      </c>
      <c r="FU17" s="20"/>
      <c r="FV17" s="16"/>
      <c r="FW17" s="17"/>
      <c r="FX17" s="17"/>
      <c r="FY17" s="18"/>
      <c r="FZ17" s="11" t="e">
        <f t="shared" si="49"/>
        <v>#DIV/0!</v>
      </c>
      <c r="GA17" s="12">
        <f t="shared" si="50"/>
        <v>0</v>
      </c>
      <c r="GB17" s="20"/>
      <c r="GC17" s="16"/>
      <c r="GD17" s="17"/>
      <c r="GE17" s="17"/>
      <c r="GF17" s="18"/>
      <c r="GG17" s="11" t="e">
        <f t="shared" si="51"/>
        <v>#DIV/0!</v>
      </c>
      <c r="GH17" s="12">
        <f t="shared" si="52"/>
        <v>0</v>
      </c>
      <c r="GI17" s="20"/>
      <c r="GJ17" s="16"/>
      <c r="GK17" s="17"/>
      <c r="GL17" s="17"/>
      <c r="GM17" s="18"/>
      <c r="GN17" s="11" t="e">
        <f t="shared" si="53"/>
        <v>#DIV/0!</v>
      </c>
      <c r="GO17" s="12">
        <f t="shared" si="54"/>
        <v>0</v>
      </c>
      <c r="GP17" s="20"/>
      <c r="GQ17" s="16"/>
      <c r="GR17" s="17"/>
      <c r="GS17" s="17"/>
      <c r="GT17" s="18"/>
      <c r="GU17" s="11" t="e">
        <f t="shared" si="55"/>
        <v>#DIV/0!</v>
      </c>
      <c r="GV17" s="12">
        <f t="shared" si="56"/>
        <v>0</v>
      </c>
    </row>
    <row r="18" spans="1:204" s="19" customFormat="1" x14ac:dyDescent="0.15">
      <c r="A18" s="15">
        <v>15</v>
      </c>
      <c r="B18" s="16"/>
      <c r="C18" s="16"/>
      <c r="D18" s="17"/>
      <c r="E18" s="17"/>
      <c r="F18" s="18"/>
      <c r="G18" s="11" t="e">
        <f t="shared" si="57"/>
        <v>#DIV/0!</v>
      </c>
      <c r="H18" s="12">
        <f t="shared" si="0"/>
        <v>0</v>
      </c>
      <c r="I18" s="20"/>
      <c r="J18" s="16"/>
      <c r="K18" s="17"/>
      <c r="L18" s="17"/>
      <c r="M18" s="18"/>
      <c r="N18" s="11" t="e">
        <f t="shared" si="1"/>
        <v>#DIV/0!</v>
      </c>
      <c r="O18" s="12">
        <f t="shared" si="2"/>
        <v>0</v>
      </c>
      <c r="P18" s="20"/>
      <c r="Q18" s="16"/>
      <c r="R18" s="17"/>
      <c r="S18" s="17"/>
      <c r="T18" s="18"/>
      <c r="U18" s="11" t="e">
        <f t="shared" si="3"/>
        <v>#DIV/0!</v>
      </c>
      <c r="V18" s="12">
        <f t="shared" si="4"/>
        <v>0</v>
      </c>
      <c r="W18" s="20"/>
      <c r="X18" s="16"/>
      <c r="Y18" s="17"/>
      <c r="Z18" s="17"/>
      <c r="AA18" s="18"/>
      <c r="AB18" s="11" t="e">
        <f t="shared" si="5"/>
        <v>#DIV/0!</v>
      </c>
      <c r="AC18" s="12">
        <f t="shared" si="6"/>
        <v>0</v>
      </c>
      <c r="AD18" s="20"/>
      <c r="AE18" s="16"/>
      <c r="AF18" s="17"/>
      <c r="AG18" s="17"/>
      <c r="AH18" s="18"/>
      <c r="AI18" s="11" t="e">
        <f t="shared" si="7"/>
        <v>#DIV/0!</v>
      </c>
      <c r="AJ18" s="12">
        <f t="shared" si="8"/>
        <v>0</v>
      </c>
      <c r="AK18" s="20"/>
      <c r="AL18" s="16"/>
      <c r="AM18" s="17"/>
      <c r="AN18" s="17"/>
      <c r="AO18" s="18"/>
      <c r="AP18" s="11" t="e">
        <f t="shared" si="9"/>
        <v>#DIV/0!</v>
      </c>
      <c r="AQ18" s="12">
        <f t="shared" si="10"/>
        <v>0</v>
      </c>
      <c r="AR18" s="20"/>
      <c r="AS18" s="16"/>
      <c r="AT18" s="17"/>
      <c r="AU18" s="17"/>
      <c r="AV18" s="18"/>
      <c r="AW18" s="11" t="e">
        <f t="shared" si="11"/>
        <v>#DIV/0!</v>
      </c>
      <c r="AX18" s="12">
        <f t="shared" si="12"/>
        <v>0</v>
      </c>
      <c r="AY18" s="20"/>
      <c r="AZ18" s="16"/>
      <c r="BA18" s="17"/>
      <c r="BB18" s="17"/>
      <c r="BC18" s="18"/>
      <c r="BD18" s="11" t="e">
        <f t="shared" si="13"/>
        <v>#DIV/0!</v>
      </c>
      <c r="BE18" s="12">
        <f t="shared" si="14"/>
        <v>0</v>
      </c>
      <c r="BF18" s="20"/>
      <c r="BG18" s="16"/>
      <c r="BH18" s="17"/>
      <c r="BI18" s="17"/>
      <c r="BJ18" s="18"/>
      <c r="BK18" s="11" t="e">
        <f t="shared" si="15"/>
        <v>#DIV/0!</v>
      </c>
      <c r="BL18" s="12">
        <f t="shared" si="16"/>
        <v>0</v>
      </c>
      <c r="BM18" s="20"/>
      <c r="BN18" s="16"/>
      <c r="BO18" s="17"/>
      <c r="BP18" s="17"/>
      <c r="BQ18" s="18"/>
      <c r="BR18" s="11" t="e">
        <f t="shared" si="17"/>
        <v>#DIV/0!</v>
      </c>
      <c r="BS18" s="12">
        <f t="shared" si="18"/>
        <v>0</v>
      </c>
      <c r="BT18" s="20"/>
      <c r="BU18" s="16"/>
      <c r="BV18" s="17"/>
      <c r="BW18" s="17"/>
      <c r="BX18" s="18"/>
      <c r="BY18" s="11" t="e">
        <f t="shared" si="19"/>
        <v>#DIV/0!</v>
      </c>
      <c r="BZ18" s="12">
        <f t="shared" si="20"/>
        <v>0</v>
      </c>
      <c r="CA18" s="20"/>
      <c r="CB18" s="16"/>
      <c r="CC18" s="17"/>
      <c r="CD18" s="17"/>
      <c r="CE18" s="18"/>
      <c r="CF18" s="11" t="e">
        <f t="shared" si="21"/>
        <v>#DIV/0!</v>
      </c>
      <c r="CG18" s="12">
        <f t="shared" si="22"/>
        <v>0</v>
      </c>
      <c r="CH18" s="20"/>
      <c r="CI18" s="16"/>
      <c r="CJ18" s="17"/>
      <c r="CK18" s="17"/>
      <c r="CL18" s="18"/>
      <c r="CM18" s="11" t="e">
        <f t="shared" si="23"/>
        <v>#DIV/0!</v>
      </c>
      <c r="CN18" s="12">
        <f t="shared" si="24"/>
        <v>0</v>
      </c>
      <c r="CO18" s="20"/>
      <c r="CP18" s="16"/>
      <c r="CQ18" s="17"/>
      <c r="CR18" s="17"/>
      <c r="CS18" s="18"/>
      <c r="CT18" s="11" t="e">
        <f t="shared" si="25"/>
        <v>#DIV/0!</v>
      </c>
      <c r="CU18" s="12">
        <f t="shared" si="26"/>
        <v>0</v>
      </c>
      <c r="CV18" s="20"/>
      <c r="CW18" s="16"/>
      <c r="CX18" s="17"/>
      <c r="CY18" s="17"/>
      <c r="CZ18" s="18"/>
      <c r="DA18" s="11" t="e">
        <f t="shared" si="27"/>
        <v>#DIV/0!</v>
      </c>
      <c r="DB18" s="12">
        <f t="shared" si="28"/>
        <v>0</v>
      </c>
      <c r="DC18" s="20"/>
      <c r="DD18" s="16"/>
      <c r="DE18" s="17"/>
      <c r="DF18" s="17"/>
      <c r="DG18" s="18"/>
      <c r="DH18" s="11" t="e">
        <f t="shared" si="29"/>
        <v>#DIV/0!</v>
      </c>
      <c r="DI18" s="12">
        <f t="shared" si="30"/>
        <v>0</v>
      </c>
      <c r="DJ18" s="20"/>
      <c r="DK18" s="16"/>
      <c r="DL18" s="17"/>
      <c r="DM18" s="17"/>
      <c r="DN18" s="18"/>
      <c r="DO18" s="11" t="e">
        <f t="shared" si="31"/>
        <v>#DIV/0!</v>
      </c>
      <c r="DP18" s="12">
        <f t="shared" si="32"/>
        <v>0</v>
      </c>
      <c r="DQ18" s="20"/>
      <c r="DR18" s="16"/>
      <c r="DS18" s="17"/>
      <c r="DT18" s="17"/>
      <c r="DU18" s="18"/>
      <c r="DV18" s="11" t="e">
        <f t="shared" si="33"/>
        <v>#DIV/0!</v>
      </c>
      <c r="DW18" s="12">
        <f t="shared" si="34"/>
        <v>0</v>
      </c>
      <c r="DX18" s="20"/>
      <c r="DY18" s="16"/>
      <c r="DZ18" s="17"/>
      <c r="EA18" s="17"/>
      <c r="EB18" s="18"/>
      <c r="EC18" s="11" t="e">
        <f t="shared" si="35"/>
        <v>#DIV/0!</v>
      </c>
      <c r="ED18" s="12">
        <f t="shared" si="36"/>
        <v>0</v>
      </c>
      <c r="EE18" s="20"/>
      <c r="EF18" s="16"/>
      <c r="EG18" s="17"/>
      <c r="EH18" s="17"/>
      <c r="EI18" s="18"/>
      <c r="EJ18" s="11" t="e">
        <f t="shared" si="37"/>
        <v>#DIV/0!</v>
      </c>
      <c r="EK18" s="12">
        <f t="shared" si="38"/>
        <v>0</v>
      </c>
      <c r="EL18" s="20"/>
      <c r="EM18" s="16"/>
      <c r="EN18" s="17"/>
      <c r="EO18" s="17"/>
      <c r="EP18" s="18"/>
      <c r="EQ18" s="11" t="e">
        <f t="shared" si="39"/>
        <v>#DIV/0!</v>
      </c>
      <c r="ER18" s="12">
        <f t="shared" si="40"/>
        <v>0</v>
      </c>
      <c r="ES18" s="20"/>
      <c r="ET18" s="16"/>
      <c r="EU18" s="17"/>
      <c r="EV18" s="17"/>
      <c r="EW18" s="18"/>
      <c r="EX18" s="11" t="e">
        <f t="shared" si="41"/>
        <v>#DIV/0!</v>
      </c>
      <c r="EY18" s="12">
        <f t="shared" si="42"/>
        <v>0</v>
      </c>
      <c r="EZ18" s="20"/>
      <c r="FA18" s="16"/>
      <c r="FB18" s="17"/>
      <c r="FC18" s="17"/>
      <c r="FD18" s="18"/>
      <c r="FE18" s="11" t="e">
        <f t="shared" si="43"/>
        <v>#DIV/0!</v>
      </c>
      <c r="FF18" s="12">
        <f t="shared" si="44"/>
        <v>0</v>
      </c>
      <c r="FG18" s="20"/>
      <c r="FH18" s="16"/>
      <c r="FI18" s="17"/>
      <c r="FJ18" s="17"/>
      <c r="FK18" s="18"/>
      <c r="FL18" s="11" t="e">
        <f t="shared" si="45"/>
        <v>#DIV/0!</v>
      </c>
      <c r="FM18" s="12">
        <f t="shared" si="46"/>
        <v>0</v>
      </c>
      <c r="FN18" s="20"/>
      <c r="FO18" s="16"/>
      <c r="FP18" s="17"/>
      <c r="FQ18" s="17"/>
      <c r="FR18" s="18"/>
      <c r="FS18" s="11" t="e">
        <f t="shared" si="47"/>
        <v>#DIV/0!</v>
      </c>
      <c r="FT18" s="12">
        <f t="shared" si="48"/>
        <v>0</v>
      </c>
      <c r="FU18" s="20"/>
      <c r="FV18" s="16"/>
      <c r="FW18" s="17"/>
      <c r="FX18" s="17"/>
      <c r="FY18" s="18"/>
      <c r="FZ18" s="11" t="e">
        <f t="shared" si="49"/>
        <v>#DIV/0!</v>
      </c>
      <c r="GA18" s="12">
        <f t="shared" si="50"/>
        <v>0</v>
      </c>
      <c r="GB18" s="20"/>
      <c r="GC18" s="16"/>
      <c r="GD18" s="17"/>
      <c r="GE18" s="17"/>
      <c r="GF18" s="18"/>
      <c r="GG18" s="11" t="e">
        <f t="shared" si="51"/>
        <v>#DIV/0!</v>
      </c>
      <c r="GH18" s="12">
        <f t="shared" si="52"/>
        <v>0</v>
      </c>
      <c r="GI18" s="20"/>
      <c r="GJ18" s="16"/>
      <c r="GK18" s="17"/>
      <c r="GL18" s="17"/>
      <c r="GM18" s="18"/>
      <c r="GN18" s="11" t="e">
        <f t="shared" si="53"/>
        <v>#DIV/0!</v>
      </c>
      <c r="GO18" s="12">
        <f t="shared" si="54"/>
        <v>0</v>
      </c>
      <c r="GP18" s="20"/>
      <c r="GQ18" s="16"/>
      <c r="GR18" s="17"/>
      <c r="GS18" s="17"/>
      <c r="GT18" s="18"/>
      <c r="GU18" s="11" t="e">
        <f t="shared" si="55"/>
        <v>#DIV/0!</v>
      </c>
      <c r="GV18" s="12">
        <f t="shared" si="56"/>
        <v>0</v>
      </c>
    </row>
    <row r="19" spans="1:204" s="19" customFormat="1" x14ac:dyDescent="0.15">
      <c r="A19" s="15">
        <v>16</v>
      </c>
      <c r="B19" s="20"/>
      <c r="C19" s="16"/>
      <c r="D19" s="17"/>
      <c r="E19" s="17"/>
      <c r="F19" s="18"/>
      <c r="G19" s="11" t="e">
        <f t="shared" si="57"/>
        <v>#DIV/0!</v>
      </c>
      <c r="H19" s="12">
        <f t="shared" si="0"/>
        <v>0</v>
      </c>
      <c r="I19" s="20"/>
      <c r="J19" s="16"/>
      <c r="K19" s="17"/>
      <c r="L19" s="17"/>
      <c r="M19" s="18"/>
      <c r="N19" s="11" t="e">
        <f t="shared" si="1"/>
        <v>#DIV/0!</v>
      </c>
      <c r="O19" s="12">
        <f t="shared" si="2"/>
        <v>0</v>
      </c>
      <c r="P19" s="20"/>
      <c r="Q19" s="16"/>
      <c r="R19" s="17"/>
      <c r="S19" s="17"/>
      <c r="T19" s="18"/>
      <c r="U19" s="11" t="e">
        <f t="shared" si="3"/>
        <v>#DIV/0!</v>
      </c>
      <c r="V19" s="12">
        <f t="shared" si="4"/>
        <v>0</v>
      </c>
      <c r="W19" s="20"/>
      <c r="X19" s="16"/>
      <c r="Y19" s="17"/>
      <c r="Z19" s="17"/>
      <c r="AA19" s="18"/>
      <c r="AB19" s="11" t="e">
        <f t="shared" si="5"/>
        <v>#DIV/0!</v>
      </c>
      <c r="AC19" s="12">
        <f t="shared" si="6"/>
        <v>0</v>
      </c>
      <c r="AD19" s="20"/>
      <c r="AE19" s="16"/>
      <c r="AF19" s="17"/>
      <c r="AG19" s="17"/>
      <c r="AH19" s="18"/>
      <c r="AI19" s="11" t="e">
        <f t="shared" si="7"/>
        <v>#DIV/0!</v>
      </c>
      <c r="AJ19" s="12">
        <f t="shared" si="8"/>
        <v>0</v>
      </c>
      <c r="AK19" s="20"/>
      <c r="AL19" s="16"/>
      <c r="AM19" s="17"/>
      <c r="AN19" s="17"/>
      <c r="AO19" s="18"/>
      <c r="AP19" s="11" t="e">
        <f t="shared" si="9"/>
        <v>#DIV/0!</v>
      </c>
      <c r="AQ19" s="12">
        <f t="shared" si="10"/>
        <v>0</v>
      </c>
      <c r="AR19" s="20"/>
      <c r="AS19" s="16"/>
      <c r="AT19" s="17"/>
      <c r="AU19" s="17"/>
      <c r="AV19" s="18"/>
      <c r="AW19" s="11" t="e">
        <f t="shared" si="11"/>
        <v>#DIV/0!</v>
      </c>
      <c r="AX19" s="12">
        <f t="shared" si="12"/>
        <v>0</v>
      </c>
      <c r="AY19" s="20"/>
      <c r="AZ19" s="16"/>
      <c r="BA19" s="17"/>
      <c r="BB19" s="17"/>
      <c r="BC19" s="18"/>
      <c r="BD19" s="11" t="e">
        <f t="shared" si="13"/>
        <v>#DIV/0!</v>
      </c>
      <c r="BE19" s="12">
        <f t="shared" si="14"/>
        <v>0</v>
      </c>
      <c r="BF19" s="20"/>
      <c r="BG19" s="16"/>
      <c r="BH19" s="17"/>
      <c r="BI19" s="17"/>
      <c r="BJ19" s="18"/>
      <c r="BK19" s="11" t="e">
        <f t="shared" si="15"/>
        <v>#DIV/0!</v>
      </c>
      <c r="BL19" s="12">
        <f t="shared" si="16"/>
        <v>0</v>
      </c>
      <c r="BM19" s="20"/>
      <c r="BN19" s="16"/>
      <c r="BO19" s="17"/>
      <c r="BP19" s="17"/>
      <c r="BQ19" s="18"/>
      <c r="BR19" s="11" t="e">
        <f t="shared" si="17"/>
        <v>#DIV/0!</v>
      </c>
      <c r="BS19" s="12">
        <f t="shared" si="18"/>
        <v>0</v>
      </c>
      <c r="BT19" s="20"/>
      <c r="BU19" s="16"/>
      <c r="BV19" s="17"/>
      <c r="BW19" s="17"/>
      <c r="BX19" s="18"/>
      <c r="BY19" s="11" t="e">
        <f t="shared" si="19"/>
        <v>#DIV/0!</v>
      </c>
      <c r="BZ19" s="12">
        <f t="shared" si="20"/>
        <v>0</v>
      </c>
      <c r="CA19" s="20"/>
      <c r="CB19" s="16"/>
      <c r="CC19" s="17"/>
      <c r="CD19" s="17"/>
      <c r="CE19" s="18"/>
      <c r="CF19" s="11" t="e">
        <f t="shared" si="21"/>
        <v>#DIV/0!</v>
      </c>
      <c r="CG19" s="12">
        <f t="shared" si="22"/>
        <v>0</v>
      </c>
      <c r="CH19" s="20"/>
      <c r="CI19" s="16"/>
      <c r="CJ19" s="17"/>
      <c r="CK19" s="17"/>
      <c r="CL19" s="18"/>
      <c r="CM19" s="11" t="e">
        <f t="shared" si="23"/>
        <v>#DIV/0!</v>
      </c>
      <c r="CN19" s="12">
        <f t="shared" si="24"/>
        <v>0</v>
      </c>
      <c r="CO19" s="20"/>
      <c r="CP19" s="16"/>
      <c r="CQ19" s="17"/>
      <c r="CR19" s="17"/>
      <c r="CS19" s="18"/>
      <c r="CT19" s="11" t="e">
        <f t="shared" si="25"/>
        <v>#DIV/0!</v>
      </c>
      <c r="CU19" s="12">
        <f t="shared" si="26"/>
        <v>0</v>
      </c>
      <c r="CV19" s="20"/>
      <c r="CW19" s="16"/>
      <c r="CX19" s="17"/>
      <c r="CY19" s="17"/>
      <c r="CZ19" s="18"/>
      <c r="DA19" s="11" t="e">
        <f t="shared" si="27"/>
        <v>#DIV/0!</v>
      </c>
      <c r="DB19" s="12">
        <f t="shared" si="28"/>
        <v>0</v>
      </c>
      <c r="DC19" s="20"/>
      <c r="DD19" s="16"/>
      <c r="DE19" s="17"/>
      <c r="DF19" s="17"/>
      <c r="DG19" s="18"/>
      <c r="DH19" s="11" t="e">
        <f t="shared" si="29"/>
        <v>#DIV/0!</v>
      </c>
      <c r="DI19" s="12">
        <f t="shared" si="30"/>
        <v>0</v>
      </c>
      <c r="DJ19" s="20"/>
      <c r="DK19" s="16"/>
      <c r="DL19" s="17"/>
      <c r="DM19" s="17"/>
      <c r="DN19" s="18"/>
      <c r="DO19" s="11" t="e">
        <f t="shared" si="31"/>
        <v>#DIV/0!</v>
      </c>
      <c r="DP19" s="12">
        <f t="shared" si="32"/>
        <v>0</v>
      </c>
      <c r="DQ19" s="20"/>
      <c r="DR19" s="16"/>
      <c r="DS19" s="17"/>
      <c r="DT19" s="17"/>
      <c r="DU19" s="18"/>
      <c r="DV19" s="11" t="e">
        <f t="shared" si="33"/>
        <v>#DIV/0!</v>
      </c>
      <c r="DW19" s="12">
        <f t="shared" si="34"/>
        <v>0</v>
      </c>
      <c r="DX19" s="20"/>
      <c r="DY19" s="16"/>
      <c r="DZ19" s="17"/>
      <c r="EA19" s="17"/>
      <c r="EB19" s="18"/>
      <c r="EC19" s="11" t="e">
        <f t="shared" si="35"/>
        <v>#DIV/0!</v>
      </c>
      <c r="ED19" s="12">
        <f t="shared" si="36"/>
        <v>0</v>
      </c>
      <c r="EE19" s="20"/>
      <c r="EF19" s="16"/>
      <c r="EG19" s="17"/>
      <c r="EH19" s="17"/>
      <c r="EI19" s="18"/>
      <c r="EJ19" s="11" t="e">
        <f t="shared" si="37"/>
        <v>#DIV/0!</v>
      </c>
      <c r="EK19" s="12">
        <f t="shared" si="38"/>
        <v>0</v>
      </c>
      <c r="EL19" s="20"/>
      <c r="EM19" s="16"/>
      <c r="EN19" s="17"/>
      <c r="EO19" s="17"/>
      <c r="EP19" s="18"/>
      <c r="EQ19" s="11" t="e">
        <f t="shared" si="39"/>
        <v>#DIV/0!</v>
      </c>
      <c r="ER19" s="12">
        <f t="shared" si="40"/>
        <v>0</v>
      </c>
      <c r="ES19" s="20"/>
      <c r="ET19" s="16"/>
      <c r="EU19" s="17"/>
      <c r="EV19" s="17"/>
      <c r="EW19" s="18"/>
      <c r="EX19" s="11" t="e">
        <f t="shared" si="41"/>
        <v>#DIV/0!</v>
      </c>
      <c r="EY19" s="12">
        <f t="shared" si="42"/>
        <v>0</v>
      </c>
      <c r="EZ19" s="20"/>
      <c r="FA19" s="16"/>
      <c r="FB19" s="17"/>
      <c r="FC19" s="17"/>
      <c r="FD19" s="18"/>
      <c r="FE19" s="11" t="e">
        <f t="shared" si="43"/>
        <v>#DIV/0!</v>
      </c>
      <c r="FF19" s="12">
        <f t="shared" si="44"/>
        <v>0</v>
      </c>
      <c r="FG19" s="20"/>
      <c r="FH19" s="16"/>
      <c r="FI19" s="17"/>
      <c r="FJ19" s="17"/>
      <c r="FK19" s="18"/>
      <c r="FL19" s="11" t="e">
        <f t="shared" si="45"/>
        <v>#DIV/0!</v>
      </c>
      <c r="FM19" s="12">
        <f t="shared" si="46"/>
        <v>0</v>
      </c>
      <c r="FN19" s="20"/>
      <c r="FO19" s="16"/>
      <c r="FP19" s="17"/>
      <c r="FQ19" s="17"/>
      <c r="FR19" s="18"/>
      <c r="FS19" s="11" t="e">
        <f t="shared" si="47"/>
        <v>#DIV/0!</v>
      </c>
      <c r="FT19" s="12">
        <f t="shared" si="48"/>
        <v>0</v>
      </c>
      <c r="FU19" s="20"/>
      <c r="FV19" s="16"/>
      <c r="FW19" s="17"/>
      <c r="FX19" s="17"/>
      <c r="FY19" s="18"/>
      <c r="FZ19" s="11" t="e">
        <f t="shared" si="49"/>
        <v>#DIV/0!</v>
      </c>
      <c r="GA19" s="12">
        <f t="shared" si="50"/>
        <v>0</v>
      </c>
      <c r="GB19" s="20"/>
      <c r="GC19" s="16"/>
      <c r="GD19" s="17"/>
      <c r="GE19" s="17"/>
      <c r="GF19" s="18"/>
      <c r="GG19" s="11" t="e">
        <f t="shared" si="51"/>
        <v>#DIV/0!</v>
      </c>
      <c r="GH19" s="12">
        <f t="shared" si="52"/>
        <v>0</v>
      </c>
      <c r="GI19" s="20"/>
      <c r="GJ19" s="16"/>
      <c r="GK19" s="17"/>
      <c r="GL19" s="17"/>
      <c r="GM19" s="18"/>
      <c r="GN19" s="11" t="e">
        <f t="shared" si="53"/>
        <v>#DIV/0!</v>
      </c>
      <c r="GO19" s="12">
        <f t="shared" si="54"/>
        <v>0</v>
      </c>
      <c r="GP19" s="20"/>
      <c r="GQ19" s="16"/>
      <c r="GR19" s="17"/>
      <c r="GS19" s="17"/>
      <c r="GT19" s="18"/>
      <c r="GU19" s="11" t="e">
        <f t="shared" si="55"/>
        <v>#DIV/0!</v>
      </c>
      <c r="GV19" s="12">
        <f t="shared" si="56"/>
        <v>0</v>
      </c>
    </row>
    <row r="20" spans="1:204" s="19" customFormat="1" x14ac:dyDescent="0.15">
      <c r="A20" s="15">
        <v>17</v>
      </c>
      <c r="B20" s="20"/>
      <c r="C20" s="16"/>
      <c r="D20" s="17"/>
      <c r="E20" s="17"/>
      <c r="F20" s="18"/>
      <c r="G20" s="11" t="e">
        <f t="shared" si="57"/>
        <v>#DIV/0!</v>
      </c>
      <c r="H20" s="12">
        <f t="shared" si="0"/>
        <v>0</v>
      </c>
      <c r="I20" s="20"/>
      <c r="J20" s="16"/>
      <c r="K20" s="17"/>
      <c r="L20" s="17"/>
      <c r="M20" s="18"/>
      <c r="N20" s="11" t="e">
        <f t="shared" si="1"/>
        <v>#DIV/0!</v>
      </c>
      <c r="O20" s="12">
        <f t="shared" si="2"/>
        <v>0</v>
      </c>
      <c r="P20" s="20"/>
      <c r="Q20" s="16"/>
      <c r="R20" s="17"/>
      <c r="S20" s="17"/>
      <c r="T20" s="18"/>
      <c r="U20" s="11" t="e">
        <f t="shared" si="3"/>
        <v>#DIV/0!</v>
      </c>
      <c r="V20" s="12">
        <f t="shared" si="4"/>
        <v>0</v>
      </c>
      <c r="W20" s="20"/>
      <c r="X20" s="16"/>
      <c r="Y20" s="17"/>
      <c r="Z20" s="17"/>
      <c r="AA20" s="18"/>
      <c r="AB20" s="11" t="e">
        <f t="shared" si="5"/>
        <v>#DIV/0!</v>
      </c>
      <c r="AC20" s="12">
        <f t="shared" si="6"/>
        <v>0</v>
      </c>
      <c r="AD20" s="20"/>
      <c r="AE20" s="16"/>
      <c r="AF20" s="17"/>
      <c r="AG20" s="17"/>
      <c r="AH20" s="18"/>
      <c r="AI20" s="11" t="e">
        <f t="shared" si="7"/>
        <v>#DIV/0!</v>
      </c>
      <c r="AJ20" s="12">
        <f t="shared" si="8"/>
        <v>0</v>
      </c>
      <c r="AK20" s="20"/>
      <c r="AL20" s="16"/>
      <c r="AM20" s="17"/>
      <c r="AN20" s="17"/>
      <c r="AO20" s="18"/>
      <c r="AP20" s="11" t="e">
        <f t="shared" si="9"/>
        <v>#DIV/0!</v>
      </c>
      <c r="AQ20" s="12">
        <f t="shared" si="10"/>
        <v>0</v>
      </c>
      <c r="AR20" s="20"/>
      <c r="AS20" s="16"/>
      <c r="AT20" s="17"/>
      <c r="AU20" s="17"/>
      <c r="AV20" s="18"/>
      <c r="AW20" s="11" t="e">
        <f t="shared" si="11"/>
        <v>#DIV/0!</v>
      </c>
      <c r="AX20" s="12">
        <f t="shared" si="12"/>
        <v>0</v>
      </c>
      <c r="AY20" s="20"/>
      <c r="AZ20" s="16"/>
      <c r="BA20" s="17"/>
      <c r="BB20" s="17"/>
      <c r="BC20" s="18"/>
      <c r="BD20" s="11" t="e">
        <f t="shared" si="13"/>
        <v>#DIV/0!</v>
      </c>
      <c r="BE20" s="12">
        <f t="shared" si="14"/>
        <v>0</v>
      </c>
      <c r="BF20" s="20"/>
      <c r="BG20" s="16"/>
      <c r="BH20" s="17"/>
      <c r="BI20" s="17"/>
      <c r="BJ20" s="18"/>
      <c r="BK20" s="11" t="e">
        <f t="shared" si="15"/>
        <v>#DIV/0!</v>
      </c>
      <c r="BL20" s="12">
        <f t="shared" si="16"/>
        <v>0</v>
      </c>
      <c r="BM20" s="20"/>
      <c r="BN20" s="16"/>
      <c r="BO20" s="17"/>
      <c r="BP20" s="17"/>
      <c r="BQ20" s="18"/>
      <c r="BR20" s="11" t="e">
        <f t="shared" si="17"/>
        <v>#DIV/0!</v>
      </c>
      <c r="BS20" s="12">
        <f t="shared" si="18"/>
        <v>0</v>
      </c>
      <c r="BT20" s="20"/>
      <c r="BU20" s="16"/>
      <c r="BV20" s="17"/>
      <c r="BW20" s="17"/>
      <c r="BX20" s="18"/>
      <c r="BY20" s="11" t="e">
        <f t="shared" si="19"/>
        <v>#DIV/0!</v>
      </c>
      <c r="BZ20" s="12">
        <f t="shared" si="20"/>
        <v>0</v>
      </c>
      <c r="CA20" s="20"/>
      <c r="CB20" s="16"/>
      <c r="CC20" s="17"/>
      <c r="CD20" s="17"/>
      <c r="CE20" s="18"/>
      <c r="CF20" s="11" t="e">
        <f t="shared" si="21"/>
        <v>#DIV/0!</v>
      </c>
      <c r="CG20" s="12">
        <f t="shared" si="22"/>
        <v>0</v>
      </c>
      <c r="CH20" s="20"/>
      <c r="CI20" s="16"/>
      <c r="CJ20" s="17"/>
      <c r="CK20" s="17"/>
      <c r="CL20" s="18"/>
      <c r="CM20" s="11" t="e">
        <f t="shared" si="23"/>
        <v>#DIV/0!</v>
      </c>
      <c r="CN20" s="12">
        <f t="shared" si="24"/>
        <v>0</v>
      </c>
      <c r="CO20" s="20"/>
      <c r="CP20" s="16"/>
      <c r="CQ20" s="17"/>
      <c r="CR20" s="17"/>
      <c r="CS20" s="18"/>
      <c r="CT20" s="11" t="e">
        <f t="shared" si="25"/>
        <v>#DIV/0!</v>
      </c>
      <c r="CU20" s="12">
        <f t="shared" si="26"/>
        <v>0</v>
      </c>
      <c r="CV20" s="20"/>
      <c r="CW20" s="16"/>
      <c r="CX20" s="17"/>
      <c r="CY20" s="17"/>
      <c r="CZ20" s="18"/>
      <c r="DA20" s="11" t="e">
        <f t="shared" si="27"/>
        <v>#DIV/0!</v>
      </c>
      <c r="DB20" s="12">
        <f t="shared" si="28"/>
        <v>0</v>
      </c>
      <c r="DC20" s="20"/>
      <c r="DD20" s="16"/>
      <c r="DE20" s="17"/>
      <c r="DF20" s="17"/>
      <c r="DG20" s="18"/>
      <c r="DH20" s="11" t="e">
        <f t="shared" si="29"/>
        <v>#DIV/0!</v>
      </c>
      <c r="DI20" s="12">
        <f t="shared" si="30"/>
        <v>0</v>
      </c>
      <c r="DJ20" s="20"/>
      <c r="DK20" s="16"/>
      <c r="DL20" s="17"/>
      <c r="DM20" s="17"/>
      <c r="DN20" s="18"/>
      <c r="DO20" s="11" t="e">
        <f t="shared" si="31"/>
        <v>#DIV/0!</v>
      </c>
      <c r="DP20" s="12">
        <f t="shared" si="32"/>
        <v>0</v>
      </c>
      <c r="DQ20" s="20"/>
      <c r="DR20" s="16"/>
      <c r="DS20" s="17"/>
      <c r="DT20" s="17"/>
      <c r="DU20" s="18"/>
      <c r="DV20" s="11" t="e">
        <f t="shared" si="33"/>
        <v>#DIV/0!</v>
      </c>
      <c r="DW20" s="12">
        <f t="shared" si="34"/>
        <v>0</v>
      </c>
      <c r="DX20" s="20"/>
      <c r="DY20" s="16"/>
      <c r="DZ20" s="17"/>
      <c r="EA20" s="17"/>
      <c r="EB20" s="18"/>
      <c r="EC20" s="11" t="e">
        <f t="shared" si="35"/>
        <v>#DIV/0!</v>
      </c>
      <c r="ED20" s="12">
        <f t="shared" si="36"/>
        <v>0</v>
      </c>
      <c r="EE20" s="20"/>
      <c r="EF20" s="16"/>
      <c r="EG20" s="17"/>
      <c r="EH20" s="17"/>
      <c r="EI20" s="18"/>
      <c r="EJ20" s="11" t="e">
        <f t="shared" si="37"/>
        <v>#DIV/0!</v>
      </c>
      <c r="EK20" s="12">
        <f t="shared" si="38"/>
        <v>0</v>
      </c>
      <c r="EL20" s="20"/>
      <c r="EM20" s="16"/>
      <c r="EN20" s="17"/>
      <c r="EO20" s="17"/>
      <c r="EP20" s="18"/>
      <c r="EQ20" s="11" t="e">
        <f t="shared" si="39"/>
        <v>#DIV/0!</v>
      </c>
      <c r="ER20" s="12">
        <f t="shared" si="40"/>
        <v>0</v>
      </c>
      <c r="ES20" s="20"/>
      <c r="ET20" s="16"/>
      <c r="EU20" s="17"/>
      <c r="EV20" s="17"/>
      <c r="EW20" s="18"/>
      <c r="EX20" s="11" t="e">
        <f t="shared" si="41"/>
        <v>#DIV/0!</v>
      </c>
      <c r="EY20" s="12">
        <f t="shared" si="42"/>
        <v>0</v>
      </c>
      <c r="EZ20" s="20"/>
      <c r="FA20" s="16"/>
      <c r="FB20" s="17"/>
      <c r="FC20" s="17"/>
      <c r="FD20" s="18"/>
      <c r="FE20" s="11" t="e">
        <f t="shared" si="43"/>
        <v>#DIV/0!</v>
      </c>
      <c r="FF20" s="12">
        <f t="shared" si="44"/>
        <v>0</v>
      </c>
      <c r="FG20" s="20"/>
      <c r="FH20" s="16"/>
      <c r="FI20" s="17"/>
      <c r="FJ20" s="17"/>
      <c r="FK20" s="18"/>
      <c r="FL20" s="11" t="e">
        <f t="shared" si="45"/>
        <v>#DIV/0!</v>
      </c>
      <c r="FM20" s="12">
        <f t="shared" si="46"/>
        <v>0</v>
      </c>
      <c r="FN20" s="20"/>
      <c r="FO20" s="16"/>
      <c r="FP20" s="17"/>
      <c r="FQ20" s="17"/>
      <c r="FR20" s="18"/>
      <c r="FS20" s="11" t="e">
        <f t="shared" si="47"/>
        <v>#DIV/0!</v>
      </c>
      <c r="FT20" s="12">
        <f t="shared" si="48"/>
        <v>0</v>
      </c>
      <c r="FU20" s="20"/>
      <c r="FV20" s="16"/>
      <c r="FW20" s="17"/>
      <c r="FX20" s="17"/>
      <c r="FY20" s="18"/>
      <c r="FZ20" s="11" t="e">
        <f t="shared" si="49"/>
        <v>#DIV/0!</v>
      </c>
      <c r="GA20" s="12">
        <f t="shared" si="50"/>
        <v>0</v>
      </c>
      <c r="GB20" s="20"/>
      <c r="GC20" s="16"/>
      <c r="GD20" s="17"/>
      <c r="GE20" s="17"/>
      <c r="GF20" s="18"/>
      <c r="GG20" s="11" t="e">
        <f t="shared" si="51"/>
        <v>#DIV/0!</v>
      </c>
      <c r="GH20" s="12">
        <f t="shared" si="52"/>
        <v>0</v>
      </c>
      <c r="GI20" s="20"/>
      <c r="GJ20" s="16"/>
      <c r="GK20" s="17"/>
      <c r="GL20" s="17"/>
      <c r="GM20" s="18"/>
      <c r="GN20" s="11" t="e">
        <f t="shared" si="53"/>
        <v>#DIV/0!</v>
      </c>
      <c r="GO20" s="12">
        <f t="shared" si="54"/>
        <v>0</v>
      </c>
      <c r="GP20" s="20"/>
      <c r="GQ20" s="16"/>
      <c r="GR20" s="17"/>
      <c r="GS20" s="17"/>
      <c r="GT20" s="18"/>
      <c r="GU20" s="11" t="e">
        <f t="shared" si="55"/>
        <v>#DIV/0!</v>
      </c>
      <c r="GV20" s="12">
        <f t="shared" si="56"/>
        <v>0</v>
      </c>
    </row>
    <row r="21" spans="1:204" s="19" customFormat="1" x14ac:dyDescent="0.15">
      <c r="A21" s="15">
        <v>18</v>
      </c>
      <c r="B21" s="20"/>
      <c r="C21" s="16"/>
      <c r="D21" s="17"/>
      <c r="E21" s="17"/>
      <c r="F21" s="18"/>
      <c r="G21" s="11" t="e">
        <f t="shared" si="57"/>
        <v>#DIV/0!</v>
      </c>
      <c r="H21" s="12">
        <f t="shared" si="0"/>
        <v>0</v>
      </c>
      <c r="I21" s="20"/>
      <c r="J21" s="16"/>
      <c r="K21" s="17"/>
      <c r="L21" s="17"/>
      <c r="M21" s="18"/>
      <c r="N21" s="11" t="e">
        <f t="shared" si="1"/>
        <v>#DIV/0!</v>
      </c>
      <c r="O21" s="12">
        <f t="shared" si="2"/>
        <v>0</v>
      </c>
      <c r="P21" s="20"/>
      <c r="Q21" s="16"/>
      <c r="R21" s="17"/>
      <c r="S21" s="17"/>
      <c r="T21" s="18"/>
      <c r="U21" s="11" t="e">
        <f t="shared" si="3"/>
        <v>#DIV/0!</v>
      </c>
      <c r="V21" s="12">
        <f t="shared" si="4"/>
        <v>0</v>
      </c>
      <c r="W21" s="20"/>
      <c r="X21" s="16"/>
      <c r="Y21" s="17"/>
      <c r="Z21" s="17"/>
      <c r="AA21" s="18"/>
      <c r="AB21" s="11" t="e">
        <f t="shared" si="5"/>
        <v>#DIV/0!</v>
      </c>
      <c r="AC21" s="12">
        <f t="shared" si="6"/>
        <v>0</v>
      </c>
      <c r="AD21" s="20"/>
      <c r="AE21" s="16"/>
      <c r="AF21" s="17"/>
      <c r="AG21" s="17"/>
      <c r="AH21" s="18"/>
      <c r="AI21" s="11" t="e">
        <f t="shared" si="7"/>
        <v>#DIV/0!</v>
      </c>
      <c r="AJ21" s="12">
        <f t="shared" si="8"/>
        <v>0</v>
      </c>
      <c r="AK21" s="20"/>
      <c r="AL21" s="16"/>
      <c r="AM21" s="17"/>
      <c r="AN21" s="17"/>
      <c r="AO21" s="18"/>
      <c r="AP21" s="11" t="e">
        <f t="shared" si="9"/>
        <v>#DIV/0!</v>
      </c>
      <c r="AQ21" s="12">
        <f t="shared" si="10"/>
        <v>0</v>
      </c>
      <c r="AR21" s="20"/>
      <c r="AS21" s="16"/>
      <c r="AT21" s="17"/>
      <c r="AU21" s="17"/>
      <c r="AV21" s="18"/>
      <c r="AW21" s="11" t="e">
        <f t="shared" si="11"/>
        <v>#DIV/0!</v>
      </c>
      <c r="AX21" s="12">
        <f t="shared" si="12"/>
        <v>0</v>
      </c>
      <c r="AY21" s="20"/>
      <c r="AZ21" s="16"/>
      <c r="BA21" s="17"/>
      <c r="BB21" s="17"/>
      <c r="BC21" s="18"/>
      <c r="BD21" s="11" t="e">
        <f t="shared" si="13"/>
        <v>#DIV/0!</v>
      </c>
      <c r="BE21" s="12">
        <f t="shared" si="14"/>
        <v>0</v>
      </c>
      <c r="BF21" s="20"/>
      <c r="BG21" s="16"/>
      <c r="BH21" s="17"/>
      <c r="BI21" s="17"/>
      <c r="BJ21" s="18"/>
      <c r="BK21" s="11" t="e">
        <f t="shared" si="15"/>
        <v>#DIV/0!</v>
      </c>
      <c r="BL21" s="12">
        <f t="shared" si="16"/>
        <v>0</v>
      </c>
      <c r="BM21" s="20"/>
      <c r="BN21" s="16"/>
      <c r="BO21" s="17"/>
      <c r="BP21" s="17"/>
      <c r="BQ21" s="18"/>
      <c r="BR21" s="11" t="e">
        <f t="shared" si="17"/>
        <v>#DIV/0!</v>
      </c>
      <c r="BS21" s="12">
        <f t="shared" si="18"/>
        <v>0</v>
      </c>
      <c r="BT21" s="20"/>
      <c r="BU21" s="16"/>
      <c r="BV21" s="17"/>
      <c r="BW21" s="17"/>
      <c r="BX21" s="18"/>
      <c r="BY21" s="11" t="e">
        <f t="shared" si="19"/>
        <v>#DIV/0!</v>
      </c>
      <c r="BZ21" s="12">
        <f t="shared" si="20"/>
        <v>0</v>
      </c>
      <c r="CA21" s="20"/>
      <c r="CB21" s="16"/>
      <c r="CC21" s="17"/>
      <c r="CD21" s="17"/>
      <c r="CE21" s="18"/>
      <c r="CF21" s="11" t="e">
        <f t="shared" si="21"/>
        <v>#DIV/0!</v>
      </c>
      <c r="CG21" s="12">
        <f t="shared" si="22"/>
        <v>0</v>
      </c>
      <c r="CH21" s="20"/>
      <c r="CI21" s="16"/>
      <c r="CJ21" s="17"/>
      <c r="CK21" s="17"/>
      <c r="CL21" s="18"/>
      <c r="CM21" s="11" t="e">
        <f t="shared" si="23"/>
        <v>#DIV/0!</v>
      </c>
      <c r="CN21" s="12">
        <f t="shared" si="24"/>
        <v>0</v>
      </c>
      <c r="CO21" s="20"/>
      <c r="CP21" s="16"/>
      <c r="CQ21" s="17"/>
      <c r="CR21" s="17"/>
      <c r="CS21" s="18"/>
      <c r="CT21" s="11" t="e">
        <f t="shared" si="25"/>
        <v>#DIV/0!</v>
      </c>
      <c r="CU21" s="12">
        <f t="shared" si="26"/>
        <v>0</v>
      </c>
      <c r="CV21" s="20"/>
      <c r="CW21" s="16"/>
      <c r="CX21" s="17"/>
      <c r="CY21" s="17"/>
      <c r="CZ21" s="18"/>
      <c r="DA21" s="11" t="e">
        <f t="shared" si="27"/>
        <v>#DIV/0!</v>
      </c>
      <c r="DB21" s="12">
        <f t="shared" si="28"/>
        <v>0</v>
      </c>
      <c r="DC21" s="20"/>
      <c r="DD21" s="16"/>
      <c r="DE21" s="17"/>
      <c r="DF21" s="17"/>
      <c r="DG21" s="18"/>
      <c r="DH21" s="11" t="e">
        <f t="shared" si="29"/>
        <v>#DIV/0!</v>
      </c>
      <c r="DI21" s="12">
        <f t="shared" si="30"/>
        <v>0</v>
      </c>
      <c r="DJ21" s="20"/>
      <c r="DK21" s="16"/>
      <c r="DL21" s="17"/>
      <c r="DM21" s="17"/>
      <c r="DN21" s="18"/>
      <c r="DO21" s="11" t="e">
        <f t="shared" si="31"/>
        <v>#DIV/0!</v>
      </c>
      <c r="DP21" s="12">
        <f t="shared" si="32"/>
        <v>0</v>
      </c>
      <c r="DQ21" s="20"/>
      <c r="DR21" s="16"/>
      <c r="DS21" s="17"/>
      <c r="DT21" s="17"/>
      <c r="DU21" s="18"/>
      <c r="DV21" s="11" t="e">
        <f t="shared" si="33"/>
        <v>#DIV/0!</v>
      </c>
      <c r="DW21" s="12">
        <f t="shared" si="34"/>
        <v>0</v>
      </c>
      <c r="DX21" s="20"/>
      <c r="DY21" s="16"/>
      <c r="DZ21" s="17"/>
      <c r="EA21" s="17"/>
      <c r="EB21" s="18"/>
      <c r="EC21" s="11" t="e">
        <f t="shared" si="35"/>
        <v>#DIV/0!</v>
      </c>
      <c r="ED21" s="12">
        <f t="shared" si="36"/>
        <v>0</v>
      </c>
      <c r="EE21" s="20"/>
      <c r="EF21" s="16"/>
      <c r="EG21" s="17"/>
      <c r="EH21" s="17"/>
      <c r="EI21" s="18"/>
      <c r="EJ21" s="11" t="e">
        <f t="shared" si="37"/>
        <v>#DIV/0!</v>
      </c>
      <c r="EK21" s="12">
        <f t="shared" si="38"/>
        <v>0</v>
      </c>
      <c r="EL21" s="20"/>
      <c r="EM21" s="16"/>
      <c r="EN21" s="17"/>
      <c r="EO21" s="17"/>
      <c r="EP21" s="18"/>
      <c r="EQ21" s="11" t="e">
        <f t="shared" si="39"/>
        <v>#DIV/0!</v>
      </c>
      <c r="ER21" s="12">
        <f t="shared" si="40"/>
        <v>0</v>
      </c>
      <c r="ES21" s="20"/>
      <c r="ET21" s="16"/>
      <c r="EU21" s="17"/>
      <c r="EV21" s="17"/>
      <c r="EW21" s="18"/>
      <c r="EX21" s="11" t="e">
        <f t="shared" si="41"/>
        <v>#DIV/0!</v>
      </c>
      <c r="EY21" s="12">
        <f t="shared" si="42"/>
        <v>0</v>
      </c>
      <c r="EZ21" s="20"/>
      <c r="FA21" s="16"/>
      <c r="FB21" s="17"/>
      <c r="FC21" s="17"/>
      <c r="FD21" s="18"/>
      <c r="FE21" s="11" t="e">
        <f t="shared" si="43"/>
        <v>#DIV/0!</v>
      </c>
      <c r="FF21" s="12">
        <f t="shared" si="44"/>
        <v>0</v>
      </c>
      <c r="FG21" s="20"/>
      <c r="FH21" s="16"/>
      <c r="FI21" s="17"/>
      <c r="FJ21" s="17"/>
      <c r="FK21" s="18"/>
      <c r="FL21" s="11" t="e">
        <f t="shared" si="45"/>
        <v>#DIV/0!</v>
      </c>
      <c r="FM21" s="12">
        <f t="shared" si="46"/>
        <v>0</v>
      </c>
      <c r="FN21" s="20"/>
      <c r="FO21" s="16"/>
      <c r="FP21" s="17"/>
      <c r="FQ21" s="17"/>
      <c r="FR21" s="18"/>
      <c r="FS21" s="11" t="e">
        <f t="shared" si="47"/>
        <v>#DIV/0!</v>
      </c>
      <c r="FT21" s="12">
        <f t="shared" si="48"/>
        <v>0</v>
      </c>
      <c r="FU21" s="20"/>
      <c r="FV21" s="16"/>
      <c r="FW21" s="17"/>
      <c r="FX21" s="17"/>
      <c r="FY21" s="18"/>
      <c r="FZ21" s="11" t="e">
        <f t="shared" si="49"/>
        <v>#DIV/0!</v>
      </c>
      <c r="GA21" s="12">
        <f t="shared" si="50"/>
        <v>0</v>
      </c>
      <c r="GB21" s="20"/>
      <c r="GC21" s="16"/>
      <c r="GD21" s="17"/>
      <c r="GE21" s="17"/>
      <c r="GF21" s="18"/>
      <c r="GG21" s="11" t="e">
        <f t="shared" si="51"/>
        <v>#DIV/0!</v>
      </c>
      <c r="GH21" s="12">
        <f t="shared" si="52"/>
        <v>0</v>
      </c>
      <c r="GI21" s="20"/>
      <c r="GJ21" s="16"/>
      <c r="GK21" s="17"/>
      <c r="GL21" s="17"/>
      <c r="GM21" s="18"/>
      <c r="GN21" s="11" t="e">
        <f t="shared" si="53"/>
        <v>#DIV/0!</v>
      </c>
      <c r="GO21" s="12">
        <f t="shared" si="54"/>
        <v>0</v>
      </c>
      <c r="GP21" s="20"/>
      <c r="GQ21" s="16"/>
      <c r="GR21" s="17"/>
      <c r="GS21" s="17"/>
      <c r="GT21" s="18"/>
      <c r="GU21" s="11" t="e">
        <f t="shared" si="55"/>
        <v>#DIV/0!</v>
      </c>
      <c r="GV21" s="12">
        <f t="shared" si="56"/>
        <v>0</v>
      </c>
    </row>
    <row r="22" spans="1:204" s="19" customFormat="1" x14ac:dyDescent="0.15">
      <c r="A22" s="15">
        <v>19</v>
      </c>
      <c r="B22" s="20"/>
      <c r="C22" s="16"/>
      <c r="D22" s="17"/>
      <c r="E22" s="17"/>
      <c r="F22" s="18"/>
      <c r="G22" s="11" t="e">
        <f t="shared" si="57"/>
        <v>#DIV/0!</v>
      </c>
      <c r="H22" s="12">
        <f t="shared" si="0"/>
        <v>0</v>
      </c>
      <c r="I22" s="20"/>
      <c r="J22" s="16"/>
      <c r="K22" s="17"/>
      <c r="L22" s="17"/>
      <c r="M22" s="18"/>
      <c r="N22" s="11" t="e">
        <f t="shared" si="1"/>
        <v>#DIV/0!</v>
      </c>
      <c r="O22" s="12">
        <f t="shared" si="2"/>
        <v>0</v>
      </c>
      <c r="P22" s="20"/>
      <c r="Q22" s="16"/>
      <c r="R22" s="17"/>
      <c r="S22" s="17"/>
      <c r="T22" s="18"/>
      <c r="U22" s="11" t="e">
        <f t="shared" si="3"/>
        <v>#DIV/0!</v>
      </c>
      <c r="V22" s="12">
        <f t="shared" si="4"/>
        <v>0</v>
      </c>
      <c r="W22" s="20"/>
      <c r="X22" s="16"/>
      <c r="Y22" s="17"/>
      <c r="Z22" s="17"/>
      <c r="AA22" s="18"/>
      <c r="AB22" s="11" t="e">
        <f t="shared" si="5"/>
        <v>#DIV/0!</v>
      </c>
      <c r="AC22" s="12">
        <f t="shared" si="6"/>
        <v>0</v>
      </c>
      <c r="AD22" s="20"/>
      <c r="AE22" s="16"/>
      <c r="AF22" s="17"/>
      <c r="AG22" s="17"/>
      <c r="AH22" s="18"/>
      <c r="AI22" s="11" t="e">
        <f t="shared" si="7"/>
        <v>#DIV/0!</v>
      </c>
      <c r="AJ22" s="12">
        <f t="shared" si="8"/>
        <v>0</v>
      </c>
      <c r="AK22" s="20"/>
      <c r="AL22" s="16"/>
      <c r="AM22" s="17"/>
      <c r="AN22" s="17"/>
      <c r="AO22" s="18"/>
      <c r="AP22" s="11" t="e">
        <f t="shared" si="9"/>
        <v>#DIV/0!</v>
      </c>
      <c r="AQ22" s="12">
        <f t="shared" si="10"/>
        <v>0</v>
      </c>
      <c r="AR22" s="20"/>
      <c r="AS22" s="16"/>
      <c r="AT22" s="17"/>
      <c r="AU22" s="17"/>
      <c r="AV22" s="18"/>
      <c r="AW22" s="11" t="e">
        <f t="shared" si="11"/>
        <v>#DIV/0!</v>
      </c>
      <c r="AX22" s="12">
        <f t="shared" si="12"/>
        <v>0</v>
      </c>
      <c r="AY22" s="20"/>
      <c r="AZ22" s="16"/>
      <c r="BA22" s="17"/>
      <c r="BB22" s="17"/>
      <c r="BC22" s="18"/>
      <c r="BD22" s="11" t="e">
        <f t="shared" si="13"/>
        <v>#DIV/0!</v>
      </c>
      <c r="BE22" s="12">
        <f t="shared" si="14"/>
        <v>0</v>
      </c>
      <c r="BF22" s="20"/>
      <c r="BG22" s="16"/>
      <c r="BH22" s="17"/>
      <c r="BI22" s="17"/>
      <c r="BJ22" s="18"/>
      <c r="BK22" s="11" t="e">
        <f t="shared" si="15"/>
        <v>#DIV/0!</v>
      </c>
      <c r="BL22" s="12">
        <f t="shared" si="16"/>
        <v>0</v>
      </c>
      <c r="BM22" s="20"/>
      <c r="BN22" s="16"/>
      <c r="BO22" s="17"/>
      <c r="BP22" s="17"/>
      <c r="BQ22" s="18"/>
      <c r="BR22" s="11" t="e">
        <f t="shared" si="17"/>
        <v>#DIV/0!</v>
      </c>
      <c r="BS22" s="12">
        <f t="shared" si="18"/>
        <v>0</v>
      </c>
      <c r="BT22" s="20"/>
      <c r="BU22" s="16"/>
      <c r="BV22" s="17"/>
      <c r="BW22" s="17"/>
      <c r="BX22" s="18"/>
      <c r="BY22" s="11" t="e">
        <f t="shared" si="19"/>
        <v>#DIV/0!</v>
      </c>
      <c r="BZ22" s="12">
        <f t="shared" si="20"/>
        <v>0</v>
      </c>
      <c r="CA22" s="20"/>
      <c r="CB22" s="16"/>
      <c r="CC22" s="17"/>
      <c r="CD22" s="17"/>
      <c r="CE22" s="18"/>
      <c r="CF22" s="11" t="e">
        <f t="shared" si="21"/>
        <v>#DIV/0!</v>
      </c>
      <c r="CG22" s="12">
        <f t="shared" si="22"/>
        <v>0</v>
      </c>
      <c r="CH22" s="20"/>
      <c r="CI22" s="16"/>
      <c r="CJ22" s="17"/>
      <c r="CK22" s="17"/>
      <c r="CL22" s="18"/>
      <c r="CM22" s="11" t="e">
        <f t="shared" si="23"/>
        <v>#DIV/0!</v>
      </c>
      <c r="CN22" s="12">
        <f t="shared" si="24"/>
        <v>0</v>
      </c>
      <c r="CO22" s="20"/>
      <c r="CP22" s="16"/>
      <c r="CQ22" s="17"/>
      <c r="CR22" s="17"/>
      <c r="CS22" s="18"/>
      <c r="CT22" s="11" t="e">
        <f t="shared" si="25"/>
        <v>#DIV/0!</v>
      </c>
      <c r="CU22" s="12">
        <f t="shared" si="26"/>
        <v>0</v>
      </c>
      <c r="CV22" s="20"/>
      <c r="CW22" s="16"/>
      <c r="CX22" s="17"/>
      <c r="CY22" s="17"/>
      <c r="CZ22" s="18"/>
      <c r="DA22" s="11" t="e">
        <f t="shared" si="27"/>
        <v>#DIV/0!</v>
      </c>
      <c r="DB22" s="12">
        <f t="shared" si="28"/>
        <v>0</v>
      </c>
      <c r="DC22" s="20"/>
      <c r="DD22" s="16"/>
      <c r="DE22" s="17"/>
      <c r="DF22" s="17"/>
      <c r="DG22" s="18"/>
      <c r="DH22" s="11" t="e">
        <f t="shared" si="29"/>
        <v>#DIV/0!</v>
      </c>
      <c r="DI22" s="12">
        <f t="shared" si="30"/>
        <v>0</v>
      </c>
      <c r="DJ22" s="20"/>
      <c r="DK22" s="16"/>
      <c r="DL22" s="17"/>
      <c r="DM22" s="17"/>
      <c r="DN22" s="18"/>
      <c r="DO22" s="11" t="e">
        <f t="shared" si="31"/>
        <v>#DIV/0!</v>
      </c>
      <c r="DP22" s="12">
        <f t="shared" si="32"/>
        <v>0</v>
      </c>
      <c r="DQ22" s="20"/>
      <c r="DR22" s="16"/>
      <c r="DS22" s="17"/>
      <c r="DT22" s="17"/>
      <c r="DU22" s="18"/>
      <c r="DV22" s="11" t="e">
        <f t="shared" si="33"/>
        <v>#DIV/0!</v>
      </c>
      <c r="DW22" s="12">
        <f t="shared" si="34"/>
        <v>0</v>
      </c>
      <c r="DX22" s="20"/>
      <c r="DY22" s="16"/>
      <c r="DZ22" s="17"/>
      <c r="EA22" s="17"/>
      <c r="EB22" s="18"/>
      <c r="EC22" s="11" t="e">
        <f t="shared" si="35"/>
        <v>#DIV/0!</v>
      </c>
      <c r="ED22" s="12">
        <f t="shared" si="36"/>
        <v>0</v>
      </c>
      <c r="EE22" s="20"/>
      <c r="EF22" s="16"/>
      <c r="EG22" s="17"/>
      <c r="EH22" s="17"/>
      <c r="EI22" s="18"/>
      <c r="EJ22" s="11" t="e">
        <f t="shared" si="37"/>
        <v>#DIV/0!</v>
      </c>
      <c r="EK22" s="12">
        <f t="shared" si="38"/>
        <v>0</v>
      </c>
      <c r="EL22" s="20"/>
      <c r="EM22" s="16"/>
      <c r="EN22" s="17"/>
      <c r="EO22" s="17"/>
      <c r="EP22" s="18"/>
      <c r="EQ22" s="11" t="e">
        <f t="shared" si="39"/>
        <v>#DIV/0!</v>
      </c>
      <c r="ER22" s="12">
        <f t="shared" si="40"/>
        <v>0</v>
      </c>
      <c r="ES22" s="20"/>
      <c r="ET22" s="16"/>
      <c r="EU22" s="17"/>
      <c r="EV22" s="17"/>
      <c r="EW22" s="18"/>
      <c r="EX22" s="11" t="e">
        <f t="shared" si="41"/>
        <v>#DIV/0!</v>
      </c>
      <c r="EY22" s="12">
        <f t="shared" si="42"/>
        <v>0</v>
      </c>
      <c r="EZ22" s="20"/>
      <c r="FA22" s="16"/>
      <c r="FB22" s="17"/>
      <c r="FC22" s="17"/>
      <c r="FD22" s="18"/>
      <c r="FE22" s="11" t="e">
        <f t="shared" si="43"/>
        <v>#DIV/0!</v>
      </c>
      <c r="FF22" s="12">
        <f t="shared" si="44"/>
        <v>0</v>
      </c>
      <c r="FG22" s="20"/>
      <c r="FH22" s="16"/>
      <c r="FI22" s="17"/>
      <c r="FJ22" s="17"/>
      <c r="FK22" s="18"/>
      <c r="FL22" s="11" t="e">
        <f t="shared" si="45"/>
        <v>#DIV/0!</v>
      </c>
      <c r="FM22" s="12">
        <f t="shared" si="46"/>
        <v>0</v>
      </c>
      <c r="FN22" s="20"/>
      <c r="FO22" s="16"/>
      <c r="FP22" s="17"/>
      <c r="FQ22" s="17"/>
      <c r="FR22" s="18"/>
      <c r="FS22" s="11" t="e">
        <f t="shared" si="47"/>
        <v>#DIV/0!</v>
      </c>
      <c r="FT22" s="12">
        <f t="shared" si="48"/>
        <v>0</v>
      </c>
      <c r="FU22" s="20"/>
      <c r="FV22" s="16"/>
      <c r="FW22" s="17"/>
      <c r="FX22" s="17"/>
      <c r="FY22" s="18"/>
      <c r="FZ22" s="11" t="e">
        <f t="shared" si="49"/>
        <v>#DIV/0!</v>
      </c>
      <c r="GA22" s="12">
        <f t="shared" si="50"/>
        <v>0</v>
      </c>
      <c r="GB22" s="20"/>
      <c r="GC22" s="16"/>
      <c r="GD22" s="17"/>
      <c r="GE22" s="17"/>
      <c r="GF22" s="18"/>
      <c r="GG22" s="11" t="e">
        <f t="shared" si="51"/>
        <v>#DIV/0!</v>
      </c>
      <c r="GH22" s="12">
        <f t="shared" si="52"/>
        <v>0</v>
      </c>
      <c r="GI22" s="20"/>
      <c r="GJ22" s="16"/>
      <c r="GK22" s="17"/>
      <c r="GL22" s="17"/>
      <c r="GM22" s="18"/>
      <c r="GN22" s="11" t="e">
        <f t="shared" si="53"/>
        <v>#DIV/0!</v>
      </c>
      <c r="GO22" s="12">
        <f t="shared" si="54"/>
        <v>0</v>
      </c>
      <c r="GP22" s="20"/>
      <c r="GQ22" s="16"/>
      <c r="GR22" s="17"/>
      <c r="GS22" s="17"/>
      <c r="GT22" s="18"/>
      <c r="GU22" s="11" t="e">
        <f t="shared" si="55"/>
        <v>#DIV/0!</v>
      </c>
      <c r="GV22" s="12">
        <f t="shared" si="56"/>
        <v>0</v>
      </c>
    </row>
    <row r="23" spans="1:204" s="19" customFormat="1" x14ac:dyDescent="0.15">
      <c r="A23" s="15">
        <v>20</v>
      </c>
      <c r="B23" s="20"/>
      <c r="C23" s="16"/>
      <c r="D23" s="17"/>
      <c r="E23" s="17"/>
      <c r="F23" s="18"/>
      <c r="G23" s="11" t="e">
        <f t="shared" si="57"/>
        <v>#DIV/0!</v>
      </c>
      <c r="H23" s="12">
        <f t="shared" si="0"/>
        <v>0</v>
      </c>
      <c r="I23" s="20"/>
      <c r="J23" s="16"/>
      <c r="K23" s="17"/>
      <c r="L23" s="17"/>
      <c r="M23" s="18"/>
      <c r="N23" s="11" t="e">
        <f t="shared" si="1"/>
        <v>#DIV/0!</v>
      </c>
      <c r="O23" s="12">
        <f t="shared" si="2"/>
        <v>0</v>
      </c>
      <c r="P23" s="20"/>
      <c r="Q23" s="16"/>
      <c r="R23" s="17"/>
      <c r="S23" s="17"/>
      <c r="T23" s="18"/>
      <c r="U23" s="11" t="e">
        <f t="shared" si="3"/>
        <v>#DIV/0!</v>
      </c>
      <c r="V23" s="12">
        <f t="shared" si="4"/>
        <v>0</v>
      </c>
      <c r="W23" s="20"/>
      <c r="X23" s="16"/>
      <c r="Y23" s="17"/>
      <c r="Z23" s="17"/>
      <c r="AA23" s="18"/>
      <c r="AB23" s="11" t="e">
        <f t="shared" si="5"/>
        <v>#DIV/0!</v>
      </c>
      <c r="AC23" s="12">
        <f t="shared" si="6"/>
        <v>0</v>
      </c>
      <c r="AD23" s="20"/>
      <c r="AE23" s="16"/>
      <c r="AF23" s="17"/>
      <c r="AG23" s="17"/>
      <c r="AH23" s="18"/>
      <c r="AI23" s="11" t="e">
        <f t="shared" si="7"/>
        <v>#DIV/0!</v>
      </c>
      <c r="AJ23" s="12">
        <f t="shared" si="8"/>
        <v>0</v>
      </c>
      <c r="AK23" s="20"/>
      <c r="AL23" s="16"/>
      <c r="AM23" s="17"/>
      <c r="AN23" s="17"/>
      <c r="AO23" s="18"/>
      <c r="AP23" s="11" t="e">
        <f t="shared" si="9"/>
        <v>#DIV/0!</v>
      </c>
      <c r="AQ23" s="12">
        <f t="shared" si="10"/>
        <v>0</v>
      </c>
      <c r="AR23" s="20"/>
      <c r="AS23" s="16"/>
      <c r="AT23" s="17"/>
      <c r="AU23" s="17"/>
      <c r="AV23" s="18"/>
      <c r="AW23" s="11" t="e">
        <f t="shared" si="11"/>
        <v>#DIV/0!</v>
      </c>
      <c r="AX23" s="12">
        <f t="shared" si="12"/>
        <v>0</v>
      </c>
      <c r="AY23" s="20"/>
      <c r="AZ23" s="16"/>
      <c r="BA23" s="17"/>
      <c r="BB23" s="17"/>
      <c r="BC23" s="18"/>
      <c r="BD23" s="11" t="e">
        <f t="shared" si="13"/>
        <v>#DIV/0!</v>
      </c>
      <c r="BE23" s="12">
        <f t="shared" si="14"/>
        <v>0</v>
      </c>
      <c r="BF23" s="20"/>
      <c r="BG23" s="16"/>
      <c r="BH23" s="17"/>
      <c r="BI23" s="17"/>
      <c r="BJ23" s="18"/>
      <c r="BK23" s="11" t="e">
        <f t="shared" si="15"/>
        <v>#DIV/0!</v>
      </c>
      <c r="BL23" s="12">
        <f t="shared" si="16"/>
        <v>0</v>
      </c>
      <c r="BM23" s="20"/>
      <c r="BN23" s="16"/>
      <c r="BO23" s="17"/>
      <c r="BP23" s="17"/>
      <c r="BQ23" s="18"/>
      <c r="BR23" s="11" t="e">
        <f t="shared" si="17"/>
        <v>#DIV/0!</v>
      </c>
      <c r="BS23" s="12">
        <f t="shared" si="18"/>
        <v>0</v>
      </c>
      <c r="BT23" s="20"/>
      <c r="BU23" s="16"/>
      <c r="BV23" s="17"/>
      <c r="BW23" s="17"/>
      <c r="BX23" s="18"/>
      <c r="BY23" s="11" t="e">
        <f t="shared" si="19"/>
        <v>#DIV/0!</v>
      </c>
      <c r="BZ23" s="12">
        <f t="shared" si="20"/>
        <v>0</v>
      </c>
      <c r="CA23" s="20"/>
      <c r="CB23" s="16"/>
      <c r="CC23" s="17"/>
      <c r="CD23" s="17"/>
      <c r="CE23" s="18"/>
      <c r="CF23" s="11" t="e">
        <f t="shared" si="21"/>
        <v>#DIV/0!</v>
      </c>
      <c r="CG23" s="12">
        <f t="shared" si="22"/>
        <v>0</v>
      </c>
      <c r="CH23" s="20"/>
      <c r="CI23" s="16"/>
      <c r="CJ23" s="17"/>
      <c r="CK23" s="17"/>
      <c r="CL23" s="18"/>
      <c r="CM23" s="11" t="e">
        <f t="shared" si="23"/>
        <v>#DIV/0!</v>
      </c>
      <c r="CN23" s="12">
        <f t="shared" si="24"/>
        <v>0</v>
      </c>
      <c r="CO23" s="20"/>
      <c r="CP23" s="16"/>
      <c r="CQ23" s="17"/>
      <c r="CR23" s="17"/>
      <c r="CS23" s="18"/>
      <c r="CT23" s="11" t="e">
        <f t="shared" si="25"/>
        <v>#DIV/0!</v>
      </c>
      <c r="CU23" s="12">
        <f t="shared" si="26"/>
        <v>0</v>
      </c>
      <c r="CV23" s="20"/>
      <c r="CW23" s="16"/>
      <c r="CX23" s="17"/>
      <c r="CY23" s="17"/>
      <c r="CZ23" s="18"/>
      <c r="DA23" s="11" t="e">
        <f t="shared" si="27"/>
        <v>#DIV/0!</v>
      </c>
      <c r="DB23" s="12">
        <f t="shared" si="28"/>
        <v>0</v>
      </c>
      <c r="DC23" s="20"/>
      <c r="DD23" s="16"/>
      <c r="DE23" s="17"/>
      <c r="DF23" s="17"/>
      <c r="DG23" s="18"/>
      <c r="DH23" s="11" t="e">
        <f t="shared" si="29"/>
        <v>#DIV/0!</v>
      </c>
      <c r="DI23" s="12">
        <f t="shared" si="30"/>
        <v>0</v>
      </c>
      <c r="DJ23" s="20"/>
      <c r="DK23" s="16"/>
      <c r="DL23" s="17"/>
      <c r="DM23" s="17"/>
      <c r="DN23" s="18"/>
      <c r="DO23" s="11" t="e">
        <f t="shared" si="31"/>
        <v>#DIV/0!</v>
      </c>
      <c r="DP23" s="12">
        <f t="shared" si="32"/>
        <v>0</v>
      </c>
      <c r="DQ23" s="20"/>
      <c r="DR23" s="16"/>
      <c r="DS23" s="17"/>
      <c r="DT23" s="17"/>
      <c r="DU23" s="18"/>
      <c r="DV23" s="11" t="e">
        <f t="shared" si="33"/>
        <v>#DIV/0!</v>
      </c>
      <c r="DW23" s="12">
        <f t="shared" si="34"/>
        <v>0</v>
      </c>
      <c r="DX23" s="20"/>
      <c r="DY23" s="16"/>
      <c r="DZ23" s="17"/>
      <c r="EA23" s="17"/>
      <c r="EB23" s="18"/>
      <c r="EC23" s="11" t="e">
        <f t="shared" si="35"/>
        <v>#DIV/0!</v>
      </c>
      <c r="ED23" s="12">
        <f t="shared" si="36"/>
        <v>0</v>
      </c>
      <c r="EE23" s="20"/>
      <c r="EF23" s="16"/>
      <c r="EG23" s="17"/>
      <c r="EH23" s="17"/>
      <c r="EI23" s="18"/>
      <c r="EJ23" s="11" t="e">
        <f t="shared" si="37"/>
        <v>#DIV/0!</v>
      </c>
      <c r="EK23" s="12">
        <f t="shared" si="38"/>
        <v>0</v>
      </c>
      <c r="EL23" s="20"/>
      <c r="EM23" s="16"/>
      <c r="EN23" s="17"/>
      <c r="EO23" s="17"/>
      <c r="EP23" s="18"/>
      <c r="EQ23" s="11" t="e">
        <f t="shared" si="39"/>
        <v>#DIV/0!</v>
      </c>
      <c r="ER23" s="12">
        <f t="shared" si="40"/>
        <v>0</v>
      </c>
      <c r="ES23" s="20"/>
      <c r="ET23" s="16"/>
      <c r="EU23" s="17"/>
      <c r="EV23" s="17"/>
      <c r="EW23" s="18"/>
      <c r="EX23" s="11" t="e">
        <f t="shared" si="41"/>
        <v>#DIV/0!</v>
      </c>
      <c r="EY23" s="12">
        <f t="shared" si="42"/>
        <v>0</v>
      </c>
      <c r="EZ23" s="20"/>
      <c r="FA23" s="16"/>
      <c r="FB23" s="17"/>
      <c r="FC23" s="17"/>
      <c r="FD23" s="18"/>
      <c r="FE23" s="11" t="e">
        <f t="shared" si="43"/>
        <v>#DIV/0!</v>
      </c>
      <c r="FF23" s="12">
        <f t="shared" si="44"/>
        <v>0</v>
      </c>
      <c r="FG23" s="20"/>
      <c r="FH23" s="16"/>
      <c r="FI23" s="17"/>
      <c r="FJ23" s="17"/>
      <c r="FK23" s="18"/>
      <c r="FL23" s="11" t="e">
        <f t="shared" si="45"/>
        <v>#DIV/0!</v>
      </c>
      <c r="FM23" s="12">
        <f t="shared" si="46"/>
        <v>0</v>
      </c>
      <c r="FN23" s="20"/>
      <c r="FO23" s="16"/>
      <c r="FP23" s="17"/>
      <c r="FQ23" s="17"/>
      <c r="FR23" s="18"/>
      <c r="FS23" s="11" t="e">
        <f t="shared" si="47"/>
        <v>#DIV/0!</v>
      </c>
      <c r="FT23" s="12">
        <f t="shared" si="48"/>
        <v>0</v>
      </c>
      <c r="FU23" s="20"/>
      <c r="FV23" s="16"/>
      <c r="FW23" s="17"/>
      <c r="FX23" s="17"/>
      <c r="FY23" s="18"/>
      <c r="FZ23" s="11" t="e">
        <f t="shared" si="49"/>
        <v>#DIV/0!</v>
      </c>
      <c r="GA23" s="12">
        <f t="shared" si="50"/>
        <v>0</v>
      </c>
      <c r="GB23" s="20"/>
      <c r="GC23" s="16"/>
      <c r="GD23" s="17"/>
      <c r="GE23" s="17"/>
      <c r="GF23" s="18"/>
      <c r="GG23" s="11" t="e">
        <f t="shared" si="51"/>
        <v>#DIV/0!</v>
      </c>
      <c r="GH23" s="12">
        <f t="shared" si="52"/>
        <v>0</v>
      </c>
      <c r="GI23" s="20"/>
      <c r="GJ23" s="16"/>
      <c r="GK23" s="17"/>
      <c r="GL23" s="17"/>
      <c r="GM23" s="18"/>
      <c r="GN23" s="11" t="e">
        <f t="shared" si="53"/>
        <v>#DIV/0!</v>
      </c>
      <c r="GO23" s="12">
        <f t="shared" si="54"/>
        <v>0</v>
      </c>
      <c r="GP23" s="20"/>
      <c r="GQ23" s="16"/>
      <c r="GR23" s="17"/>
      <c r="GS23" s="17"/>
      <c r="GT23" s="18"/>
      <c r="GU23" s="11" t="e">
        <f t="shared" si="55"/>
        <v>#DIV/0!</v>
      </c>
      <c r="GV23" s="12">
        <f t="shared" si="56"/>
        <v>0</v>
      </c>
    </row>
    <row r="24" spans="1:204" s="19" customFormat="1" x14ac:dyDescent="0.15">
      <c r="A24" s="15">
        <v>21</v>
      </c>
      <c r="B24" s="20"/>
      <c r="C24" s="16"/>
      <c r="D24" s="17"/>
      <c r="E24" s="17"/>
      <c r="F24" s="18"/>
      <c r="G24" s="11" t="e">
        <f t="shared" si="57"/>
        <v>#DIV/0!</v>
      </c>
      <c r="H24" s="12">
        <f t="shared" si="0"/>
        <v>0</v>
      </c>
      <c r="I24" s="20"/>
      <c r="J24" s="16"/>
      <c r="K24" s="17"/>
      <c r="L24" s="17"/>
      <c r="M24" s="18"/>
      <c r="N24" s="11" t="e">
        <f t="shared" si="1"/>
        <v>#DIV/0!</v>
      </c>
      <c r="O24" s="12">
        <f t="shared" si="2"/>
        <v>0</v>
      </c>
      <c r="P24" s="20"/>
      <c r="Q24" s="16"/>
      <c r="R24" s="17"/>
      <c r="S24" s="17"/>
      <c r="T24" s="18"/>
      <c r="U24" s="11" t="e">
        <f t="shared" si="3"/>
        <v>#DIV/0!</v>
      </c>
      <c r="V24" s="12">
        <f t="shared" si="4"/>
        <v>0</v>
      </c>
      <c r="W24" s="20"/>
      <c r="X24" s="16"/>
      <c r="Y24" s="17"/>
      <c r="Z24" s="17"/>
      <c r="AA24" s="18"/>
      <c r="AB24" s="11" t="e">
        <f t="shared" si="5"/>
        <v>#DIV/0!</v>
      </c>
      <c r="AC24" s="12">
        <f t="shared" si="6"/>
        <v>0</v>
      </c>
      <c r="AD24" s="20"/>
      <c r="AE24" s="16"/>
      <c r="AF24" s="17"/>
      <c r="AG24" s="17"/>
      <c r="AH24" s="18"/>
      <c r="AI24" s="11" t="e">
        <f t="shared" si="7"/>
        <v>#DIV/0!</v>
      </c>
      <c r="AJ24" s="12">
        <f t="shared" si="8"/>
        <v>0</v>
      </c>
      <c r="AK24" s="20"/>
      <c r="AL24" s="16"/>
      <c r="AM24" s="17"/>
      <c r="AN24" s="17"/>
      <c r="AO24" s="18"/>
      <c r="AP24" s="11" t="e">
        <f t="shared" si="9"/>
        <v>#DIV/0!</v>
      </c>
      <c r="AQ24" s="12">
        <f t="shared" si="10"/>
        <v>0</v>
      </c>
      <c r="AR24" s="20"/>
      <c r="AS24" s="16"/>
      <c r="AT24" s="17"/>
      <c r="AU24" s="17"/>
      <c r="AV24" s="18"/>
      <c r="AW24" s="11" t="e">
        <f t="shared" si="11"/>
        <v>#DIV/0!</v>
      </c>
      <c r="AX24" s="12">
        <f t="shared" si="12"/>
        <v>0</v>
      </c>
      <c r="AY24" s="20"/>
      <c r="AZ24" s="16"/>
      <c r="BA24" s="17"/>
      <c r="BB24" s="17"/>
      <c r="BC24" s="18"/>
      <c r="BD24" s="11" t="e">
        <f t="shared" si="13"/>
        <v>#DIV/0!</v>
      </c>
      <c r="BE24" s="12">
        <f t="shared" si="14"/>
        <v>0</v>
      </c>
      <c r="BF24" s="20"/>
      <c r="BG24" s="16"/>
      <c r="BH24" s="17"/>
      <c r="BI24" s="17"/>
      <c r="BJ24" s="18"/>
      <c r="BK24" s="11" t="e">
        <f t="shared" si="15"/>
        <v>#DIV/0!</v>
      </c>
      <c r="BL24" s="12">
        <f t="shared" si="16"/>
        <v>0</v>
      </c>
      <c r="BM24" s="20"/>
      <c r="BN24" s="16"/>
      <c r="BO24" s="17"/>
      <c r="BP24" s="17"/>
      <c r="BQ24" s="18"/>
      <c r="BR24" s="11" t="e">
        <f t="shared" si="17"/>
        <v>#DIV/0!</v>
      </c>
      <c r="BS24" s="12">
        <f t="shared" si="18"/>
        <v>0</v>
      </c>
      <c r="BT24" s="20"/>
      <c r="BU24" s="16"/>
      <c r="BV24" s="17"/>
      <c r="BW24" s="17"/>
      <c r="BX24" s="18"/>
      <c r="BY24" s="11" t="e">
        <f t="shared" si="19"/>
        <v>#DIV/0!</v>
      </c>
      <c r="BZ24" s="12">
        <f t="shared" si="20"/>
        <v>0</v>
      </c>
      <c r="CA24" s="20"/>
      <c r="CB24" s="16"/>
      <c r="CC24" s="17"/>
      <c r="CD24" s="17"/>
      <c r="CE24" s="18"/>
      <c r="CF24" s="11" t="e">
        <f t="shared" si="21"/>
        <v>#DIV/0!</v>
      </c>
      <c r="CG24" s="12">
        <f t="shared" si="22"/>
        <v>0</v>
      </c>
      <c r="CH24" s="20"/>
      <c r="CI24" s="16"/>
      <c r="CJ24" s="17"/>
      <c r="CK24" s="17"/>
      <c r="CL24" s="18"/>
      <c r="CM24" s="11" t="e">
        <f t="shared" si="23"/>
        <v>#DIV/0!</v>
      </c>
      <c r="CN24" s="12">
        <f t="shared" si="24"/>
        <v>0</v>
      </c>
      <c r="CO24" s="20"/>
      <c r="CP24" s="16"/>
      <c r="CQ24" s="17"/>
      <c r="CR24" s="17"/>
      <c r="CS24" s="18"/>
      <c r="CT24" s="11" t="e">
        <f t="shared" si="25"/>
        <v>#DIV/0!</v>
      </c>
      <c r="CU24" s="12">
        <f t="shared" si="26"/>
        <v>0</v>
      </c>
      <c r="CV24" s="20"/>
      <c r="CW24" s="16"/>
      <c r="CX24" s="17"/>
      <c r="CY24" s="17"/>
      <c r="CZ24" s="18"/>
      <c r="DA24" s="11" t="e">
        <f t="shared" si="27"/>
        <v>#DIV/0!</v>
      </c>
      <c r="DB24" s="12">
        <f t="shared" si="28"/>
        <v>0</v>
      </c>
      <c r="DC24" s="20"/>
      <c r="DD24" s="16"/>
      <c r="DE24" s="17"/>
      <c r="DF24" s="17"/>
      <c r="DG24" s="18"/>
      <c r="DH24" s="11" t="e">
        <f t="shared" si="29"/>
        <v>#DIV/0!</v>
      </c>
      <c r="DI24" s="12">
        <f t="shared" si="30"/>
        <v>0</v>
      </c>
      <c r="DJ24" s="20"/>
      <c r="DK24" s="16"/>
      <c r="DL24" s="17"/>
      <c r="DM24" s="17"/>
      <c r="DN24" s="18"/>
      <c r="DO24" s="11" t="e">
        <f t="shared" si="31"/>
        <v>#DIV/0!</v>
      </c>
      <c r="DP24" s="12">
        <f t="shared" si="32"/>
        <v>0</v>
      </c>
      <c r="DQ24" s="20"/>
      <c r="DR24" s="16"/>
      <c r="DS24" s="17"/>
      <c r="DT24" s="17"/>
      <c r="DU24" s="18"/>
      <c r="DV24" s="11" t="e">
        <f t="shared" si="33"/>
        <v>#DIV/0!</v>
      </c>
      <c r="DW24" s="12">
        <f t="shared" si="34"/>
        <v>0</v>
      </c>
      <c r="DX24" s="20"/>
      <c r="DY24" s="16"/>
      <c r="DZ24" s="17"/>
      <c r="EA24" s="17"/>
      <c r="EB24" s="18"/>
      <c r="EC24" s="11" t="e">
        <f t="shared" si="35"/>
        <v>#DIV/0!</v>
      </c>
      <c r="ED24" s="12">
        <f t="shared" si="36"/>
        <v>0</v>
      </c>
      <c r="EE24" s="20"/>
      <c r="EF24" s="16"/>
      <c r="EG24" s="17"/>
      <c r="EH24" s="17"/>
      <c r="EI24" s="18"/>
      <c r="EJ24" s="11" t="e">
        <f t="shared" si="37"/>
        <v>#DIV/0!</v>
      </c>
      <c r="EK24" s="12">
        <f t="shared" si="38"/>
        <v>0</v>
      </c>
      <c r="EL24" s="20"/>
      <c r="EM24" s="16"/>
      <c r="EN24" s="17"/>
      <c r="EO24" s="17"/>
      <c r="EP24" s="18"/>
      <c r="EQ24" s="11" t="e">
        <f t="shared" si="39"/>
        <v>#DIV/0!</v>
      </c>
      <c r="ER24" s="12">
        <f t="shared" si="40"/>
        <v>0</v>
      </c>
      <c r="ES24" s="20"/>
      <c r="ET24" s="16"/>
      <c r="EU24" s="17"/>
      <c r="EV24" s="17"/>
      <c r="EW24" s="18"/>
      <c r="EX24" s="11" t="e">
        <f t="shared" si="41"/>
        <v>#DIV/0!</v>
      </c>
      <c r="EY24" s="12">
        <f t="shared" si="42"/>
        <v>0</v>
      </c>
      <c r="EZ24" s="20"/>
      <c r="FA24" s="16"/>
      <c r="FB24" s="17"/>
      <c r="FC24" s="17"/>
      <c r="FD24" s="18"/>
      <c r="FE24" s="11" t="e">
        <f t="shared" si="43"/>
        <v>#DIV/0!</v>
      </c>
      <c r="FF24" s="12">
        <f t="shared" si="44"/>
        <v>0</v>
      </c>
      <c r="FG24" s="20"/>
      <c r="FH24" s="16"/>
      <c r="FI24" s="17"/>
      <c r="FJ24" s="17"/>
      <c r="FK24" s="18"/>
      <c r="FL24" s="11" t="e">
        <f t="shared" si="45"/>
        <v>#DIV/0!</v>
      </c>
      <c r="FM24" s="12">
        <f t="shared" si="46"/>
        <v>0</v>
      </c>
      <c r="FN24" s="20"/>
      <c r="FO24" s="16"/>
      <c r="FP24" s="17"/>
      <c r="FQ24" s="17"/>
      <c r="FR24" s="18"/>
      <c r="FS24" s="11" t="e">
        <f t="shared" si="47"/>
        <v>#DIV/0!</v>
      </c>
      <c r="FT24" s="12">
        <f t="shared" si="48"/>
        <v>0</v>
      </c>
      <c r="FU24" s="20"/>
      <c r="FV24" s="16"/>
      <c r="FW24" s="17"/>
      <c r="FX24" s="17"/>
      <c r="FY24" s="18"/>
      <c r="FZ24" s="11" t="e">
        <f t="shared" si="49"/>
        <v>#DIV/0!</v>
      </c>
      <c r="GA24" s="12">
        <f t="shared" si="50"/>
        <v>0</v>
      </c>
      <c r="GB24" s="20"/>
      <c r="GC24" s="16"/>
      <c r="GD24" s="17"/>
      <c r="GE24" s="17"/>
      <c r="GF24" s="18"/>
      <c r="GG24" s="11" t="e">
        <f t="shared" si="51"/>
        <v>#DIV/0!</v>
      </c>
      <c r="GH24" s="12">
        <f t="shared" si="52"/>
        <v>0</v>
      </c>
      <c r="GI24" s="20"/>
      <c r="GJ24" s="16"/>
      <c r="GK24" s="17"/>
      <c r="GL24" s="17"/>
      <c r="GM24" s="18"/>
      <c r="GN24" s="11" t="e">
        <f t="shared" si="53"/>
        <v>#DIV/0!</v>
      </c>
      <c r="GO24" s="12">
        <f t="shared" si="54"/>
        <v>0</v>
      </c>
      <c r="GP24" s="20"/>
      <c r="GQ24" s="16"/>
      <c r="GR24" s="17"/>
      <c r="GS24" s="17"/>
      <c r="GT24" s="18"/>
      <c r="GU24" s="11" t="e">
        <f t="shared" si="55"/>
        <v>#DIV/0!</v>
      </c>
      <c r="GV24" s="12">
        <f t="shared" si="56"/>
        <v>0</v>
      </c>
    </row>
    <row r="25" spans="1:204" s="19" customFormat="1" x14ac:dyDescent="0.15">
      <c r="A25" s="15">
        <v>22</v>
      </c>
      <c r="B25" s="20"/>
      <c r="C25" s="16"/>
      <c r="D25" s="17"/>
      <c r="E25" s="17"/>
      <c r="F25" s="18"/>
      <c r="G25" s="11" t="e">
        <f t="shared" si="57"/>
        <v>#DIV/0!</v>
      </c>
      <c r="H25" s="12">
        <f t="shared" si="0"/>
        <v>0</v>
      </c>
      <c r="I25" s="20"/>
      <c r="J25" s="16"/>
      <c r="K25" s="17"/>
      <c r="L25" s="17"/>
      <c r="M25" s="18"/>
      <c r="N25" s="11" t="e">
        <f t="shared" si="1"/>
        <v>#DIV/0!</v>
      </c>
      <c r="O25" s="12">
        <f t="shared" si="2"/>
        <v>0</v>
      </c>
      <c r="P25" s="20"/>
      <c r="Q25" s="16"/>
      <c r="R25" s="17"/>
      <c r="S25" s="17"/>
      <c r="T25" s="18"/>
      <c r="U25" s="11" t="e">
        <f t="shared" si="3"/>
        <v>#DIV/0!</v>
      </c>
      <c r="V25" s="12">
        <f t="shared" si="4"/>
        <v>0</v>
      </c>
      <c r="W25" s="20"/>
      <c r="X25" s="16"/>
      <c r="Y25" s="17"/>
      <c r="Z25" s="17"/>
      <c r="AA25" s="18"/>
      <c r="AB25" s="11" t="e">
        <f t="shared" si="5"/>
        <v>#DIV/0!</v>
      </c>
      <c r="AC25" s="12">
        <f t="shared" si="6"/>
        <v>0</v>
      </c>
      <c r="AD25" s="20"/>
      <c r="AE25" s="16"/>
      <c r="AF25" s="17"/>
      <c r="AG25" s="17"/>
      <c r="AH25" s="18"/>
      <c r="AI25" s="11" t="e">
        <f t="shared" si="7"/>
        <v>#DIV/0!</v>
      </c>
      <c r="AJ25" s="12">
        <f t="shared" si="8"/>
        <v>0</v>
      </c>
      <c r="AK25" s="20"/>
      <c r="AL25" s="16"/>
      <c r="AM25" s="17"/>
      <c r="AN25" s="17"/>
      <c r="AO25" s="18"/>
      <c r="AP25" s="11" t="e">
        <f t="shared" si="9"/>
        <v>#DIV/0!</v>
      </c>
      <c r="AQ25" s="12">
        <f t="shared" si="10"/>
        <v>0</v>
      </c>
      <c r="AR25" s="20"/>
      <c r="AS25" s="16"/>
      <c r="AT25" s="17"/>
      <c r="AU25" s="17"/>
      <c r="AV25" s="18"/>
      <c r="AW25" s="11" t="e">
        <f t="shared" si="11"/>
        <v>#DIV/0!</v>
      </c>
      <c r="AX25" s="12">
        <f t="shared" si="12"/>
        <v>0</v>
      </c>
      <c r="AY25" s="20"/>
      <c r="AZ25" s="16"/>
      <c r="BA25" s="17"/>
      <c r="BB25" s="17"/>
      <c r="BC25" s="18"/>
      <c r="BD25" s="11" t="e">
        <f t="shared" si="13"/>
        <v>#DIV/0!</v>
      </c>
      <c r="BE25" s="12">
        <f t="shared" si="14"/>
        <v>0</v>
      </c>
      <c r="BF25" s="20"/>
      <c r="BG25" s="16"/>
      <c r="BH25" s="17"/>
      <c r="BI25" s="17"/>
      <c r="BJ25" s="18"/>
      <c r="BK25" s="11" t="e">
        <f t="shared" si="15"/>
        <v>#DIV/0!</v>
      </c>
      <c r="BL25" s="12">
        <f t="shared" si="16"/>
        <v>0</v>
      </c>
      <c r="BM25" s="20"/>
      <c r="BN25" s="16"/>
      <c r="BO25" s="17"/>
      <c r="BP25" s="17"/>
      <c r="BQ25" s="18"/>
      <c r="BR25" s="11" t="e">
        <f t="shared" si="17"/>
        <v>#DIV/0!</v>
      </c>
      <c r="BS25" s="12">
        <f t="shared" si="18"/>
        <v>0</v>
      </c>
      <c r="BT25" s="20"/>
      <c r="BU25" s="16"/>
      <c r="BV25" s="17"/>
      <c r="BW25" s="17"/>
      <c r="BX25" s="18"/>
      <c r="BY25" s="11" t="e">
        <f t="shared" si="19"/>
        <v>#DIV/0!</v>
      </c>
      <c r="BZ25" s="12">
        <f t="shared" si="20"/>
        <v>0</v>
      </c>
      <c r="CA25" s="20"/>
      <c r="CB25" s="16"/>
      <c r="CC25" s="17"/>
      <c r="CD25" s="17"/>
      <c r="CE25" s="18"/>
      <c r="CF25" s="11" t="e">
        <f t="shared" si="21"/>
        <v>#DIV/0!</v>
      </c>
      <c r="CG25" s="12">
        <f t="shared" si="22"/>
        <v>0</v>
      </c>
      <c r="CH25" s="20"/>
      <c r="CI25" s="16"/>
      <c r="CJ25" s="17"/>
      <c r="CK25" s="17"/>
      <c r="CL25" s="18"/>
      <c r="CM25" s="11" t="e">
        <f t="shared" si="23"/>
        <v>#DIV/0!</v>
      </c>
      <c r="CN25" s="12">
        <f t="shared" si="24"/>
        <v>0</v>
      </c>
      <c r="CO25" s="20"/>
      <c r="CP25" s="16"/>
      <c r="CQ25" s="17"/>
      <c r="CR25" s="17"/>
      <c r="CS25" s="18"/>
      <c r="CT25" s="11" t="e">
        <f t="shared" si="25"/>
        <v>#DIV/0!</v>
      </c>
      <c r="CU25" s="12">
        <f t="shared" si="26"/>
        <v>0</v>
      </c>
      <c r="CV25" s="20"/>
      <c r="CW25" s="16"/>
      <c r="CX25" s="17"/>
      <c r="CY25" s="17"/>
      <c r="CZ25" s="18"/>
      <c r="DA25" s="11" t="e">
        <f t="shared" si="27"/>
        <v>#DIV/0!</v>
      </c>
      <c r="DB25" s="12">
        <f t="shared" si="28"/>
        <v>0</v>
      </c>
      <c r="DC25" s="20"/>
      <c r="DD25" s="16"/>
      <c r="DE25" s="17"/>
      <c r="DF25" s="17"/>
      <c r="DG25" s="18"/>
      <c r="DH25" s="11" t="e">
        <f t="shared" si="29"/>
        <v>#DIV/0!</v>
      </c>
      <c r="DI25" s="12">
        <f t="shared" si="30"/>
        <v>0</v>
      </c>
      <c r="DJ25" s="20"/>
      <c r="DK25" s="16"/>
      <c r="DL25" s="17"/>
      <c r="DM25" s="17"/>
      <c r="DN25" s="18"/>
      <c r="DO25" s="11" t="e">
        <f t="shared" si="31"/>
        <v>#DIV/0!</v>
      </c>
      <c r="DP25" s="12">
        <f t="shared" si="32"/>
        <v>0</v>
      </c>
      <c r="DQ25" s="20"/>
      <c r="DR25" s="16"/>
      <c r="DS25" s="17"/>
      <c r="DT25" s="17"/>
      <c r="DU25" s="18"/>
      <c r="DV25" s="11" t="e">
        <f t="shared" si="33"/>
        <v>#DIV/0!</v>
      </c>
      <c r="DW25" s="12">
        <f t="shared" si="34"/>
        <v>0</v>
      </c>
      <c r="DX25" s="20"/>
      <c r="DY25" s="16"/>
      <c r="DZ25" s="17"/>
      <c r="EA25" s="17"/>
      <c r="EB25" s="18"/>
      <c r="EC25" s="11" t="e">
        <f t="shared" si="35"/>
        <v>#DIV/0!</v>
      </c>
      <c r="ED25" s="12">
        <f t="shared" si="36"/>
        <v>0</v>
      </c>
      <c r="EE25" s="20"/>
      <c r="EF25" s="16"/>
      <c r="EG25" s="17"/>
      <c r="EH25" s="17"/>
      <c r="EI25" s="18"/>
      <c r="EJ25" s="11" t="e">
        <f t="shared" si="37"/>
        <v>#DIV/0!</v>
      </c>
      <c r="EK25" s="12">
        <f t="shared" si="38"/>
        <v>0</v>
      </c>
      <c r="EL25" s="20"/>
      <c r="EM25" s="16"/>
      <c r="EN25" s="17"/>
      <c r="EO25" s="17"/>
      <c r="EP25" s="18"/>
      <c r="EQ25" s="11" t="e">
        <f t="shared" si="39"/>
        <v>#DIV/0!</v>
      </c>
      <c r="ER25" s="12">
        <f t="shared" si="40"/>
        <v>0</v>
      </c>
      <c r="ES25" s="20"/>
      <c r="ET25" s="16"/>
      <c r="EU25" s="17"/>
      <c r="EV25" s="17"/>
      <c r="EW25" s="18"/>
      <c r="EX25" s="11" t="e">
        <f t="shared" si="41"/>
        <v>#DIV/0!</v>
      </c>
      <c r="EY25" s="12">
        <f t="shared" si="42"/>
        <v>0</v>
      </c>
      <c r="EZ25" s="20"/>
      <c r="FA25" s="16"/>
      <c r="FB25" s="17"/>
      <c r="FC25" s="17"/>
      <c r="FD25" s="18"/>
      <c r="FE25" s="11" t="e">
        <f t="shared" si="43"/>
        <v>#DIV/0!</v>
      </c>
      <c r="FF25" s="12">
        <f t="shared" si="44"/>
        <v>0</v>
      </c>
      <c r="FG25" s="20"/>
      <c r="FH25" s="16"/>
      <c r="FI25" s="17"/>
      <c r="FJ25" s="17"/>
      <c r="FK25" s="18"/>
      <c r="FL25" s="11" t="e">
        <f t="shared" si="45"/>
        <v>#DIV/0!</v>
      </c>
      <c r="FM25" s="12">
        <f t="shared" si="46"/>
        <v>0</v>
      </c>
      <c r="FN25" s="20"/>
      <c r="FO25" s="16"/>
      <c r="FP25" s="17"/>
      <c r="FQ25" s="17"/>
      <c r="FR25" s="18"/>
      <c r="FS25" s="11" t="e">
        <f t="shared" si="47"/>
        <v>#DIV/0!</v>
      </c>
      <c r="FT25" s="12">
        <f t="shared" si="48"/>
        <v>0</v>
      </c>
      <c r="FU25" s="20"/>
      <c r="FV25" s="16"/>
      <c r="FW25" s="17"/>
      <c r="FX25" s="17"/>
      <c r="FY25" s="18"/>
      <c r="FZ25" s="11" t="e">
        <f t="shared" si="49"/>
        <v>#DIV/0!</v>
      </c>
      <c r="GA25" s="12">
        <f t="shared" si="50"/>
        <v>0</v>
      </c>
      <c r="GB25" s="20"/>
      <c r="GC25" s="16"/>
      <c r="GD25" s="17"/>
      <c r="GE25" s="17"/>
      <c r="GF25" s="18"/>
      <c r="GG25" s="11" t="e">
        <f t="shared" si="51"/>
        <v>#DIV/0!</v>
      </c>
      <c r="GH25" s="12">
        <f t="shared" si="52"/>
        <v>0</v>
      </c>
      <c r="GI25" s="20"/>
      <c r="GJ25" s="16"/>
      <c r="GK25" s="17"/>
      <c r="GL25" s="17"/>
      <c r="GM25" s="18"/>
      <c r="GN25" s="11" t="e">
        <f t="shared" si="53"/>
        <v>#DIV/0!</v>
      </c>
      <c r="GO25" s="12">
        <f t="shared" si="54"/>
        <v>0</v>
      </c>
      <c r="GP25" s="20"/>
      <c r="GQ25" s="16"/>
      <c r="GR25" s="17"/>
      <c r="GS25" s="17"/>
      <c r="GT25" s="18"/>
      <c r="GU25" s="11" t="e">
        <f t="shared" si="55"/>
        <v>#DIV/0!</v>
      </c>
      <c r="GV25" s="12">
        <f t="shared" si="56"/>
        <v>0</v>
      </c>
    </row>
    <row r="26" spans="1:204" s="19" customFormat="1" x14ac:dyDescent="0.15">
      <c r="A26" s="15">
        <v>23</v>
      </c>
      <c r="B26" s="20"/>
      <c r="C26" s="16"/>
      <c r="D26" s="17"/>
      <c r="E26" s="17"/>
      <c r="F26" s="18"/>
      <c r="G26" s="11" t="e">
        <f t="shared" si="57"/>
        <v>#DIV/0!</v>
      </c>
      <c r="H26" s="12">
        <f t="shared" si="0"/>
        <v>0</v>
      </c>
      <c r="I26" s="20"/>
      <c r="J26" s="16"/>
      <c r="K26" s="17"/>
      <c r="L26" s="17"/>
      <c r="M26" s="18"/>
      <c r="N26" s="11" t="e">
        <f t="shared" si="1"/>
        <v>#DIV/0!</v>
      </c>
      <c r="O26" s="12">
        <f t="shared" si="2"/>
        <v>0</v>
      </c>
      <c r="P26" s="20"/>
      <c r="Q26" s="16"/>
      <c r="R26" s="17"/>
      <c r="S26" s="17"/>
      <c r="T26" s="18"/>
      <c r="U26" s="11" t="e">
        <f t="shared" si="3"/>
        <v>#DIV/0!</v>
      </c>
      <c r="V26" s="12">
        <f t="shared" si="4"/>
        <v>0</v>
      </c>
      <c r="W26" s="20"/>
      <c r="X26" s="16"/>
      <c r="Y26" s="17"/>
      <c r="Z26" s="17"/>
      <c r="AA26" s="18"/>
      <c r="AB26" s="11" t="e">
        <f t="shared" si="5"/>
        <v>#DIV/0!</v>
      </c>
      <c r="AC26" s="12">
        <f t="shared" si="6"/>
        <v>0</v>
      </c>
      <c r="AD26" s="20"/>
      <c r="AE26" s="16"/>
      <c r="AF26" s="17"/>
      <c r="AG26" s="17"/>
      <c r="AH26" s="18"/>
      <c r="AI26" s="11" t="e">
        <f t="shared" si="7"/>
        <v>#DIV/0!</v>
      </c>
      <c r="AJ26" s="12">
        <f t="shared" si="8"/>
        <v>0</v>
      </c>
      <c r="AK26" s="20"/>
      <c r="AL26" s="16"/>
      <c r="AM26" s="17"/>
      <c r="AN26" s="17"/>
      <c r="AO26" s="18"/>
      <c r="AP26" s="11" t="e">
        <f t="shared" si="9"/>
        <v>#DIV/0!</v>
      </c>
      <c r="AQ26" s="12">
        <f t="shared" si="10"/>
        <v>0</v>
      </c>
      <c r="AR26" s="20"/>
      <c r="AS26" s="16"/>
      <c r="AT26" s="17"/>
      <c r="AU26" s="17"/>
      <c r="AV26" s="18"/>
      <c r="AW26" s="11" t="e">
        <f t="shared" si="11"/>
        <v>#DIV/0!</v>
      </c>
      <c r="AX26" s="12">
        <f t="shared" si="12"/>
        <v>0</v>
      </c>
      <c r="AY26" s="20"/>
      <c r="AZ26" s="16"/>
      <c r="BA26" s="17"/>
      <c r="BB26" s="17"/>
      <c r="BC26" s="18"/>
      <c r="BD26" s="11" t="e">
        <f t="shared" si="13"/>
        <v>#DIV/0!</v>
      </c>
      <c r="BE26" s="12">
        <f t="shared" si="14"/>
        <v>0</v>
      </c>
      <c r="BF26" s="20"/>
      <c r="BG26" s="16"/>
      <c r="BH26" s="17"/>
      <c r="BI26" s="17"/>
      <c r="BJ26" s="18"/>
      <c r="BK26" s="11" t="e">
        <f t="shared" si="15"/>
        <v>#DIV/0!</v>
      </c>
      <c r="BL26" s="12">
        <f t="shared" si="16"/>
        <v>0</v>
      </c>
      <c r="BM26" s="20"/>
      <c r="BN26" s="16"/>
      <c r="BO26" s="17"/>
      <c r="BP26" s="17"/>
      <c r="BQ26" s="18"/>
      <c r="BR26" s="11" t="e">
        <f t="shared" si="17"/>
        <v>#DIV/0!</v>
      </c>
      <c r="BS26" s="12">
        <f t="shared" si="18"/>
        <v>0</v>
      </c>
      <c r="BT26" s="20"/>
      <c r="BU26" s="16"/>
      <c r="BV26" s="17"/>
      <c r="BW26" s="17"/>
      <c r="BX26" s="18"/>
      <c r="BY26" s="11" t="e">
        <f t="shared" si="19"/>
        <v>#DIV/0!</v>
      </c>
      <c r="BZ26" s="12">
        <f t="shared" si="20"/>
        <v>0</v>
      </c>
      <c r="CA26" s="20"/>
      <c r="CB26" s="16"/>
      <c r="CC26" s="17"/>
      <c r="CD26" s="17"/>
      <c r="CE26" s="18"/>
      <c r="CF26" s="11" t="e">
        <f t="shared" si="21"/>
        <v>#DIV/0!</v>
      </c>
      <c r="CG26" s="12">
        <f t="shared" si="22"/>
        <v>0</v>
      </c>
      <c r="CH26" s="20"/>
      <c r="CI26" s="16"/>
      <c r="CJ26" s="17"/>
      <c r="CK26" s="17"/>
      <c r="CL26" s="18"/>
      <c r="CM26" s="11" t="e">
        <f t="shared" si="23"/>
        <v>#DIV/0!</v>
      </c>
      <c r="CN26" s="12">
        <f t="shared" si="24"/>
        <v>0</v>
      </c>
      <c r="CO26" s="20"/>
      <c r="CP26" s="16"/>
      <c r="CQ26" s="17"/>
      <c r="CR26" s="17"/>
      <c r="CS26" s="18"/>
      <c r="CT26" s="11" t="e">
        <f t="shared" si="25"/>
        <v>#DIV/0!</v>
      </c>
      <c r="CU26" s="12">
        <f t="shared" si="26"/>
        <v>0</v>
      </c>
      <c r="CV26" s="20"/>
      <c r="CW26" s="16"/>
      <c r="CX26" s="17"/>
      <c r="CY26" s="17"/>
      <c r="CZ26" s="18"/>
      <c r="DA26" s="11" t="e">
        <f t="shared" si="27"/>
        <v>#DIV/0!</v>
      </c>
      <c r="DB26" s="12">
        <f t="shared" si="28"/>
        <v>0</v>
      </c>
      <c r="DC26" s="20"/>
      <c r="DD26" s="16"/>
      <c r="DE26" s="17"/>
      <c r="DF26" s="17"/>
      <c r="DG26" s="18"/>
      <c r="DH26" s="11" t="e">
        <f t="shared" si="29"/>
        <v>#DIV/0!</v>
      </c>
      <c r="DI26" s="12">
        <f t="shared" si="30"/>
        <v>0</v>
      </c>
      <c r="DJ26" s="20"/>
      <c r="DK26" s="16"/>
      <c r="DL26" s="17"/>
      <c r="DM26" s="17"/>
      <c r="DN26" s="18"/>
      <c r="DO26" s="11" t="e">
        <f t="shared" si="31"/>
        <v>#DIV/0!</v>
      </c>
      <c r="DP26" s="12">
        <f t="shared" si="32"/>
        <v>0</v>
      </c>
      <c r="DQ26" s="20"/>
      <c r="DR26" s="16"/>
      <c r="DS26" s="17"/>
      <c r="DT26" s="17"/>
      <c r="DU26" s="18"/>
      <c r="DV26" s="11" t="e">
        <f t="shared" si="33"/>
        <v>#DIV/0!</v>
      </c>
      <c r="DW26" s="12">
        <f t="shared" si="34"/>
        <v>0</v>
      </c>
      <c r="DX26" s="20"/>
      <c r="DY26" s="16"/>
      <c r="DZ26" s="17"/>
      <c r="EA26" s="17"/>
      <c r="EB26" s="18"/>
      <c r="EC26" s="11" t="e">
        <f t="shared" si="35"/>
        <v>#DIV/0!</v>
      </c>
      <c r="ED26" s="12">
        <f t="shared" si="36"/>
        <v>0</v>
      </c>
      <c r="EE26" s="20"/>
      <c r="EF26" s="16"/>
      <c r="EG26" s="17"/>
      <c r="EH26" s="17"/>
      <c r="EI26" s="18"/>
      <c r="EJ26" s="11" t="e">
        <f t="shared" si="37"/>
        <v>#DIV/0!</v>
      </c>
      <c r="EK26" s="12">
        <f t="shared" si="38"/>
        <v>0</v>
      </c>
      <c r="EL26" s="20"/>
      <c r="EM26" s="16"/>
      <c r="EN26" s="17"/>
      <c r="EO26" s="17"/>
      <c r="EP26" s="18"/>
      <c r="EQ26" s="11" t="e">
        <f t="shared" si="39"/>
        <v>#DIV/0!</v>
      </c>
      <c r="ER26" s="12">
        <f t="shared" si="40"/>
        <v>0</v>
      </c>
      <c r="ES26" s="20"/>
      <c r="ET26" s="16"/>
      <c r="EU26" s="17"/>
      <c r="EV26" s="17"/>
      <c r="EW26" s="18"/>
      <c r="EX26" s="11" t="e">
        <f t="shared" si="41"/>
        <v>#DIV/0!</v>
      </c>
      <c r="EY26" s="12">
        <f t="shared" si="42"/>
        <v>0</v>
      </c>
      <c r="EZ26" s="20"/>
      <c r="FA26" s="16"/>
      <c r="FB26" s="17"/>
      <c r="FC26" s="17"/>
      <c r="FD26" s="18"/>
      <c r="FE26" s="11" t="e">
        <f t="shared" si="43"/>
        <v>#DIV/0!</v>
      </c>
      <c r="FF26" s="12">
        <f t="shared" si="44"/>
        <v>0</v>
      </c>
      <c r="FG26" s="20"/>
      <c r="FH26" s="16"/>
      <c r="FI26" s="17"/>
      <c r="FJ26" s="17"/>
      <c r="FK26" s="18"/>
      <c r="FL26" s="11" t="e">
        <f t="shared" si="45"/>
        <v>#DIV/0!</v>
      </c>
      <c r="FM26" s="12">
        <f t="shared" si="46"/>
        <v>0</v>
      </c>
      <c r="FN26" s="20"/>
      <c r="FO26" s="16"/>
      <c r="FP26" s="17"/>
      <c r="FQ26" s="17"/>
      <c r="FR26" s="18"/>
      <c r="FS26" s="11" t="e">
        <f t="shared" si="47"/>
        <v>#DIV/0!</v>
      </c>
      <c r="FT26" s="12">
        <f t="shared" si="48"/>
        <v>0</v>
      </c>
      <c r="FU26" s="20"/>
      <c r="FV26" s="16"/>
      <c r="FW26" s="17"/>
      <c r="FX26" s="17"/>
      <c r="FY26" s="18"/>
      <c r="FZ26" s="11" t="e">
        <f t="shared" si="49"/>
        <v>#DIV/0!</v>
      </c>
      <c r="GA26" s="12">
        <f t="shared" si="50"/>
        <v>0</v>
      </c>
      <c r="GB26" s="20"/>
      <c r="GC26" s="16"/>
      <c r="GD26" s="17"/>
      <c r="GE26" s="17"/>
      <c r="GF26" s="18"/>
      <c r="GG26" s="11" t="e">
        <f t="shared" si="51"/>
        <v>#DIV/0!</v>
      </c>
      <c r="GH26" s="12">
        <f t="shared" si="52"/>
        <v>0</v>
      </c>
      <c r="GI26" s="20"/>
      <c r="GJ26" s="16"/>
      <c r="GK26" s="17"/>
      <c r="GL26" s="17"/>
      <c r="GM26" s="18"/>
      <c r="GN26" s="11" t="e">
        <f t="shared" si="53"/>
        <v>#DIV/0!</v>
      </c>
      <c r="GO26" s="12">
        <f t="shared" si="54"/>
        <v>0</v>
      </c>
      <c r="GP26" s="20"/>
      <c r="GQ26" s="16"/>
      <c r="GR26" s="17"/>
      <c r="GS26" s="17"/>
      <c r="GT26" s="18"/>
      <c r="GU26" s="11" t="e">
        <f t="shared" si="55"/>
        <v>#DIV/0!</v>
      </c>
      <c r="GV26" s="12">
        <f t="shared" si="56"/>
        <v>0</v>
      </c>
    </row>
    <row r="27" spans="1:204" s="19" customFormat="1" x14ac:dyDescent="0.15">
      <c r="A27" s="15">
        <v>24</v>
      </c>
      <c r="B27" s="20"/>
      <c r="C27" s="16"/>
      <c r="D27" s="17"/>
      <c r="E27" s="17"/>
      <c r="F27" s="18"/>
      <c r="G27" s="11" t="e">
        <f t="shared" si="57"/>
        <v>#DIV/0!</v>
      </c>
      <c r="H27" s="12">
        <f t="shared" si="0"/>
        <v>0</v>
      </c>
      <c r="I27" s="20"/>
      <c r="J27" s="16"/>
      <c r="K27" s="17"/>
      <c r="L27" s="17"/>
      <c r="M27" s="18"/>
      <c r="N27" s="11" t="e">
        <f t="shared" si="1"/>
        <v>#DIV/0!</v>
      </c>
      <c r="O27" s="12">
        <f t="shared" si="2"/>
        <v>0</v>
      </c>
      <c r="P27" s="20"/>
      <c r="Q27" s="16"/>
      <c r="R27" s="17"/>
      <c r="S27" s="17"/>
      <c r="T27" s="18"/>
      <c r="U27" s="11" t="e">
        <f t="shared" si="3"/>
        <v>#DIV/0!</v>
      </c>
      <c r="V27" s="12">
        <f t="shared" si="4"/>
        <v>0</v>
      </c>
      <c r="W27" s="20"/>
      <c r="X27" s="16"/>
      <c r="Y27" s="17"/>
      <c r="Z27" s="17"/>
      <c r="AA27" s="18"/>
      <c r="AB27" s="11" t="e">
        <f t="shared" si="5"/>
        <v>#DIV/0!</v>
      </c>
      <c r="AC27" s="12">
        <f t="shared" si="6"/>
        <v>0</v>
      </c>
      <c r="AD27" s="20"/>
      <c r="AE27" s="16"/>
      <c r="AF27" s="17"/>
      <c r="AG27" s="17"/>
      <c r="AH27" s="18"/>
      <c r="AI27" s="11" t="e">
        <f t="shared" si="7"/>
        <v>#DIV/0!</v>
      </c>
      <c r="AJ27" s="12">
        <f t="shared" si="8"/>
        <v>0</v>
      </c>
      <c r="AK27" s="20"/>
      <c r="AL27" s="16"/>
      <c r="AM27" s="17"/>
      <c r="AN27" s="17"/>
      <c r="AO27" s="18"/>
      <c r="AP27" s="11" t="e">
        <f t="shared" si="9"/>
        <v>#DIV/0!</v>
      </c>
      <c r="AQ27" s="12">
        <f t="shared" si="10"/>
        <v>0</v>
      </c>
      <c r="AR27" s="20"/>
      <c r="AS27" s="16"/>
      <c r="AT27" s="17"/>
      <c r="AU27" s="17"/>
      <c r="AV27" s="18"/>
      <c r="AW27" s="11" t="e">
        <f t="shared" si="11"/>
        <v>#DIV/0!</v>
      </c>
      <c r="AX27" s="12">
        <f t="shared" si="12"/>
        <v>0</v>
      </c>
      <c r="AY27" s="20"/>
      <c r="AZ27" s="16"/>
      <c r="BA27" s="17"/>
      <c r="BB27" s="17"/>
      <c r="BC27" s="18"/>
      <c r="BD27" s="11" t="e">
        <f t="shared" si="13"/>
        <v>#DIV/0!</v>
      </c>
      <c r="BE27" s="12">
        <f t="shared" si="14"/>
        <v>0</v>
      </c>
      <c r="BF27" s="20"/>
      <c r="BG27" s="16"/>
      <c r="BH27" s="17"/>
      <c r="BI27" s="17"/>
      <c r="BJ27" s="18"/>
      <c r="BK27" s="11" t="e">
        <f t="shared" si="15"/>
        <v>#DIV/0!</v>
      </c>
      <c r="BL27" s="12">
        <f t="shared" si="16"/>
        <v>0</v>
      </c>
      <c r="BM27" s="20"/>
      <c r="BN27" s="16"/>
      <c r="BO27" s="17"/>
      <c r="BP27" s="17"/>
      <c r="BQ27" s="18"/>
      <c r="BR27" s="11" t="e">
        <f t="shared" si="17"/>
        <v>#DIV/0!</v>
      </c>
      <c r="BS27" s="12">
        <f t="shared" si="18"/>
        <v>0</v>
      </c>
      <c r="BT27" s="20"/>
      <c r="BU27" s="16"/>
      <c r="BV27" s="17"/>
      <c r="BW27" s="17"/>
      <c r="BX27" s="18"/>
      <c r="BY27" s="11" t="e">
        <f t="shared" si="19"/>
        <v>#DIV/0!</v>
      </c>
      <c r="BZ27" s="12">
        <f t="shared" si="20"/>
        <v>0</v>
      </c>
      <c r="CA27" s="20"/>
      <c r="CB27" s="16"/>
      <c r="CC27" s="17"/>
      <c r="CD27" s="17"/>
      <c r="CE27" s="18"/>
      <c r="CF27" s="11" t="e">
        <f t="shared" si="21"/>
        <v>#DIV/0!</v>
      </c>
      <c r="CG27" s="12">
        <f t="shared" si="22"/>
        <v>0</v>
      </c>
      <c r="CH27" s="20"/>
      <c r="CI27" s="16"/>
      <c r="CJ27" s="17"/>
      <c r="CK27" s="17"/>
      <c r="CL27" s="18"/>
      <c r="CM27" s="11" t="e">
        <f t="shared" si="23"/>
        <v>#DIV/0!</v>
      </c>
      <c r="CN27" s="12">
        <f t="shared" si="24"/>
        <v>0</v>
      </c>
      <c r="CO27" s="20"/>
      <c r="CP27" s="16"/>
      <c r="CQ27" s="17"/>
      <c r="CR27" s="17"/>
      <c r="CS27" s="18"/>
      <c r="CT27" s="11" t="e">
        <f t="shared" si="25"/>
        <v>#DIV/0!</v>
      </c>
      <c r="CU27" s="12">
        <f t="shared" si="26"/>
        <v>0</v>
      </c>
      <c r="CV27" s="20"/>
      <c r="CW27" s="16"/>
      <c r="CX27" s="17"/>
      <c r="CY27" s="17"/>
      <c r="CZ27" s="18"/>
      <c r="DA27" s="11" t="e">
        <f t="shared" si="27"/>
        <v>#DIV/0!</v>
      </c>
      <c r="DB27" s="12">
        <f t="shared" si="28"/>
        <v>0</v>
      </c>
      <c r="DC27" s="20"/>
      <c r="DD27" s="16"/>
      <c r="DE27" s="17"/>
      <c r="DF27" s="17"/>
      <c r="DG27" s="18"/>
      <c r="DH27" s="11" t="e">
        <f t="shared" si="29"/>
        <v>#DIV/0!</v>
      </c>
      <c r="DI27" s="12">
        <f t="shared" si="30"/>
        <v>0</v>
      </c>
      <c r="DJ27" s="20"/>
      <c r="DK27" s="16"/>
      <c r="DL27" s="17"/>
      <c r="DM27" s="17"/>
      <c r="DN27" s="18"/>
      <c r="DO27" s="11" t="e">
        <f t="shared" si="31"/>
        <v>#DIV/0!</v>
      </c>
      <c r="DP27" s="12">
        <f t="shared" si="32"/>
        <v>0</v>
      </c>
      <c r="DQ27" s="20"/>
      <c r="DR27" s="16"/>
      <c r="DS27" s="17"/>
      <c r="DT27" s="17"/>
      <c r="DU27" s="18"/>
      <c r="DV27" s="11" t="e">
        <f t="shared" si="33"/>
        <v>#DIV/0!</v>
      </c>
      <c r="DW27" s="12">
        <f t="shared" si="34"/>
        <v>0</v>
      </c>
      <c r="DX27" s="20"/>
      <c r="DY27" s="16"/>
      <c r="DZ27" s="17"/>
      <c r="EA27" s="17"/>
      <c r="EB27" s="18"/>
      <c r="EC27" s="11" t="e">
        <f t="shared" si="35"/>
        <v>#DIV/0!</v>
      </c>
      <c r="ED27" s="12">
        <f t="shared" si="36"/>
        <v>0</v>
      </c>
      <c r="EE27" s="20"/>
      <c r="EF27" s="16"/>
      <c r="EG27" s="17"/>
      <c r="EH27" s="17"/>
      <c r="EI27" s="18"/>
      <c r="EJ27" s="11" t="e">
        <f t="shared" si="37"/>
        <v>#DIV/0!</v>
      </c>
      <c r="EK27" s="12">
        <f t="shared" si="38"/>
        <v>0</v>
      </c>
      <c r="EL27" s="20"/>
      <c r="EM27" s="16"/>
      <c r="EN27" s="17"/>
      <c r="EO27" s="17"/>
      <c r="EP27" s="18"/>
      <c r="EQ27" s="11" t="e">
        <f t="shared" si="39"/>
        <v>#DIV/0!</v>
      </c>
      <c r="ER27" s="12">
        <f t="shared" si="40"/>
        <v>0</v>
      </c>
      <c r="ES27" s="20"/>
      <c r="ET27" s="16"/>
      <c r="EU27" s="17"/>
      <c r="EV27" s="17"/>
      <c r="EW27" s="18"/>
      <c r="EX27" s="11" t="e">
        <f t="shared" si="41"/>
        <v>#DIV/0!</v>
      </c>
      <c r="EY27" s="12">
        <f t="shared" si="42"/>
        <v>0</v>
      </c>
      <c r="EZ27" s="20"/>
      <c r="FA27" s="16"/>
      <c r="FB27" s="17"/>
      <c r="FC27" s="17"/>
      <c r="FD27" s="18"/>
      <c r="FE27" s="11" t="e">
        <f t="shared" si="43"/>
        <v>#DIV/0!</v>
      </c>
      <c r="FF27" s="12">
        <f t="shared" si="44"/>
        <v>0</v>
      </c>
      <c r="FG27" s="20"/>
      <c r="FH27" s="16"/>
      <c r="FI27" s="17"/>
      <c r="FJ27" s="17"/>
      <c r="FK27" s="18"/>
      <c r="FL27" s="11" t="e">
        <f t="shared" si="45"/>
        <v>#DIV/0!</v>
      </c>
      <c r="FM27" s="12">
        <f t="shared" si="46"/>
        <v>0</v>
      </c>
      <c r="FN27" s="20"/>
      <c r="FO27" s="16"/>
      <c r="FP27" s="17"/>
      <c r="FQ27" s="17"/>
      <c r="FR27" s="18"/>
      <c r="FS27" s="11" t="e">
        <f t="shared" si="47"/>
        <v>#DIV/0!</v>
      </c>
      <c r="FT27" s="12">
        <f t="shared" si="48"/>
        <v>0</v>
      </c>
      <c r="FU27" s="20"/>
      <c r="FV27" s="16"/>
      <c r="FW27" s="17"/>
      <c r="FX27" s="17"/>
      <c r="FY27" s="18"/>
      <c r="FZ27" s="11" t="e">
        <f t="shared" si="49"/>
        <v>#DIV/0!</v>
      </c>
      <c r="GA27" s="12">
        <f t="shared" si="50"/>
        <v>0</v>
      </c>
      <c r="GB27" s="20"/>
      <c r="GC27" s="16"/>
      <c r="GD27" s="17"/>
      <c r="GE27" s="17"/>
      <c r="GF27" s="18"/>
      <c r="GG27" s="11" t="e">
        <f t="shared" si="51"/>
        <v>#DIV/0!</v>
      </c>
      <c r="GH27" s="12">
        <f t="shared" si="52"/>
        <v>0</v>
      </c>
      <c r="GI27" s="20"/>
      <c r="GJ27" s="16"/>
      <c r="GK27" s="17"/>
      <c r="GL27" s="17"/>
      <c r="GM27" s="18"/>
      <c r="GN27" s="11" t="e">
        <f t="shared" si="53"/>
        <v>#DIV/0!</v>
      </c>
      <c r="GO27" s="12">
        <f t="shared" si="54"/>
        <v>0</v>
      </c>
      <c r="GP27" s="20"/>
      <c r="GQ27" s="16"/>
      <c r="GR27" s="17"/>
      <c r="GS27" s="17"/>
      <c r="GT27" s="18"/>
      <c r="GU27" s="11" t="e">
        <f t="shared" si="55"/>
        <v>#DIV/0!</v>
      </c>
      <c r="GV27" s="12">
        <f t="shared" si="56"/>
        <v>0</v>
      </c>
    </row>
    <row r="28" spans="1:204" s="19" customFormat="1" x14ac:dyDescent="0.15">
      <c r="A28" s="15">
        <v>25</v>
      </c>
      <c r="B28" s="20"/>
      <c r="C28" s="16"/>
      <c r="D28" s="17"/>
      <c r="E28" s="17"/>
      <c r="F28" s="18"/>
      <c r="G28" s="11" t="e">
        <f t="shared" si="57"/>
        <v>#DIV/0!</v>
      </c>
      <c r="H28" s="12">
        <f t="shared" si="0"/>
        <v>0</v>
      </c>
      <c r="I28" s="20"/>
      <c r="J28" s="16"/>
      <c r="K28" s="17"/>
      <c r="L28" s="17"/>
      <c r="M28" s="18"/>
      <c r="N28" s="11" t="e">
        <f t="shared" si="1"/>
        <v>#DIV/0!</v>
      </c>
      <c r="O28" s="12">
        <f t="shared" si="2"/>
        <v>0</v>
      </c>
      <c r="P28" s="20"/>
      <c r="Q28" s="16"/>
      <c r="R28" s="17"/>
      <c r="S28" s="17"/>
      <c r="T28" s="18"/>
      <c r="U28" s="11" t="e">
        <f t="shared" si="3"/>
        <v>#DIV/0!</v>
      </c>
      <c r="V28" s="12">
        <f t="shared" si="4"/>
        <v>0</v>
      </c>
      <c r="W28" s="20"/>
      <c r="X28" s="16"/>
      <c r="Y28" s="17"/>
      <c r="Z28" s="17"/>
      <c r="AA28" s="18"/>
      <c r="AB28" s="11" t="e">
        <f t="shared" si="5"/>
        <v>#DIV/0!</v>
      </c>
      <c r="AC28" s="12">
        <f t="shared" si="6"/>
        <v>0</v>
      </c>
      <c r="AD28" s="20"/>
      <c r="AE28" s="16"/>
      <c r="AF28" s="17"/>
      <c r="AG28" s="17"/>
      <c r="AH28" s="18"/>
      <c r="AI28" s="11" t="e">
        <f t="shared" si="7"/>
        <v>#DIV/0!</v>
      </c>
      <c r="AJ28" s="12">
        <f t="shared" si="8"/>
        <v>0</v>
      </c>
      <c r="AK28" s="20"/>
      <c r="AL28" s="16"/>
      <c r="AM28" s="17"/>
      <c r="AN28" s="17"/>
      <c r="AO28" s="18"/>
      <c r="AP28" s="11" t="e">
        <f t="shared" si="9"/>
        <v>#DIV/0!</v>
      </c>
      <c r="AQ28" s="12">
        <f t="shared" si="10"/>
        <v>0</v>
      </c>
      <c r="AR28" s="20"/>
      <c r="AS28" s="16"/>
      <c r="AT28" s="17"/>
      <c r="AU28" s="17"/>
      <c r="AV28" s="18"/>
      <c r="AW28" s="11" t="e">
        <f t="shared" si="11"/>
        <v>#DIV/0!</v>
      </c>
      <c r="AX28" s="12">
        <f t="shared" si="12"/>
        <v>0</v>
      </c>
      <c r="AY28" s="20"/>
      <c r="AZ28" s="16"/>
      <c r="BA28" s="17"/>
      <c r="BB28" s="17"/>
      <c r="BC28" s="18"/>
      <c r="BD28" s="11" t="e">
        <f t="shared" si="13"/>
        <v>#DIV/0!</v>
      </c>
      <c r="BE28" s="12">
        <f t="shared" si="14"/>
        <v>0</v>
      </c>
      <c r="BF28" s="20"/>
      <c r="BG28" s="16"/>
      <c r="BH28" s="17"/>
      <c r="BI28" s="17"/>
      <c r="BJ28" s="18"/>
      <c r="BK28" s="11" t="e">
        <f t="shared" si="15"/>
        <v>#DIV/0!</v>
      </c>
      <c r="BL28" s="12">
        <f t="shared" si="16"/>
        <v>0</v>
      </c>
      <c r="BM28" s="20"/>
      <c r="BN28" s="16"/>
      <c r="BO28" s="17"/>
      <c r="BP28" s="17"/>
      <c r="BQ28" s="18"/>
      <c r="BR28" s="11" t="e">
        <f t="shared" si="17"/>
        <v>#DIV/0!</v>
      </c>
      <c r="BS28" s="12">
        <f t="shared" si="18"/>
        <v>0</v>
      </c>
      <c r="BT28" s="20"/>
      <c r="BU28" s="16"/>
      <c r="BV28" s="17"/>
      <c r="BW28" s="17"/>
      <c r="BX28" s="18"/>
      <c r="BY28" s="11" t="e">
        <f t="shared" si="19"/>
        <v>#DIV/0!</v>
      </c>
      <c r="BZ28" s="12">
        <f t="shared" si="20"/>
        <v>0</v>
      </c>
      <c r="CA28" s="20"/>
      <c r="CB28" s="16"/>
      <c r="CC28" s="17"/>
      <c r="CD28" s="17"/>
      <c r="CE28" s="18"/>
      <c r="CF28" s="11" t="e">
        <f t="shared" si="21"/>
        <v>#DIV/0!</v>
      </c>
      <c r="CG28" s="12">
        <f t="shared" si="22"/>
        <v>0</v>
      </c>
      <c r="CH28" s="20"/>
      <c r="CI28" s="16"/>
      <c r="CJ28" s="17"/>
      <c r="CK28" s="17"/>
      <c r="CL28" s="18"/>
      <c r="CM28" s="11" t="e">
        <f t="shared" si="23"/>
        <v>#DIV/0!</v>
      </c>
      <c r="CN28" s="12">
        <f t="shared" si="24"/>
        <v>0</v>
      </c>
      <c r="CO28" s="20"/>
      <c r="CP28" s="16"/>
      <c r="CQ28" s="17"/>
      <c r="CR28" s="17"/>
      <c r="CS28" s="18"/>
      <c r="CT28" s="11" t="e">
        <f t="shared" si="25"/>
        <v>#DIV/0!</v>
      </c>
      <c r="CU28" s="12">
        <f t="shared" si="26"/>
        <v>0</v>
      </c>
      <c r="CV28" s="20"/>
      <c r="CW28" s="16"/>
      <c r="CX28" s="17"/>
      <c r="CY28" s="17"/>
      <c r="CZ28" s="18"/>
      <c r="DA28" s="11" t="e">
        <f t="shared" si="27"/>
        <v>#DIV/0!</v>
      </c>
      <c r="DB28" s="12">
        <f t="shared" si="28"/>
        <v>0</v>
      </c>
      <c r="DC28" s="20"/>
      <c r="DD28" s="16"/>
      <c r="DE28" s="17"/>
      <c r="DF28" s="17"/>
      <c r="DG28" s="18"/>
      <c r="DH28" s="11" t="e">
        <f t="shared" si="29"/>
        <v>#DIV/0!</v>
      </c>
      <c r="DI28" s="12">
        <f t="shared" si="30"/>
        <v>0</v>
      </c>
      <c r="DJ28" s="20"/>
      <c r="DK28" s="16"/>
      <c r="DL28" s="17"/>
      <c r="DM28" s="17"/>
      <c r="DN28" s="18"/>
      <c r="DO28" s="11" t="e">
        <f t="shared" si="31"/>
        <v>#DIV/0!</v>
      </c>
      <c r="DP28" s="12">
        <f t="shared" si="32"/>
        <v>0</v>
      </c>
      <c r="DQ28" s="20"/>
      <c r="DR28" s="16"/>
      <c r="DS28" s="17"/>
      <c r="DT28" s="17"/>
      <c r="DU28" s="18"/>
      <c r="DV28" s="11" t="e">
        <f t="shared" si="33"/>
        <v>#DIV/0!</v>
      </c>
      <c r="DW28" s="12">
        <f t="shared" si="34"/>
        <v>0</v>
      </c>
      <c r="DX28" s="20"/>
      <c r="DY28" s="16"/>
      <c r="DZ28" s="17"/>
      <c r="EA28" s="17"/>
      <c r="EB28" s="18"/>
      <c r="EC28" s="11" t="e">
        <f t="shared" si="35"/>
        <v>#DIV/0!</v>
      </c>
      <c r="ED28" s="12">
        <f t="shared" si="36"/>
        <v>0</v>
      </c>
      <c r="EE28" s="20"/>
      <c r="EF28" s="16"/>
      <c r="EG28" s="17"/>
      <c r="EH28" s="17"/>
      <c r="EI28" s="18"/>
      <c r="EJ28" s="11" t="e">
        <f t="shared" si="37"/>
        <v>#DIV/0!</v>
      </c>
      <c r="EK28" s="12">
        <f t="shared" si="38"/>
        <v>0</v>
      </c>
      <c r="EL28" s="20"/>
      <c r="EM28" s="16"/>
      <c r="EN28" s="17"/>
      <c r="EO28" s="17"/>
      <c r="EP28" s="18"/>
      <c r="EQ28" s="11" t="e">
        <f t="shared" si="39"/>
        <v>#DIV/0!</v>
      </c>
      <c r="ER28" s="12">
        <f t="shared" si="40"/>
        <v>0</v>
      </c>
      <c r="ES28" s="20"/>
      <c r="ET28" s="16"/>
      <c r="EU28" s="17"/>
      <c r="EV28" s="17"/>
      <c r="EW28" s="18"/>
      <c r="EX28" s="11" t="e">
        <f t="shared" si="41"/>
        <v>#DIV/0!</v>
      </c>
      <c r="EY28" s="12">
        <f t="shared" si="42"/>
        <v>0</v>
      </c>
      <c r="EZ28" s="20"/>
      <c r="FA28" s="16"/>
      <c r="FB28" s="17"/>
      <c r="FC28" s="17"/>
      <c r="FD28" s="18"/>
      <c r="FE28" s="11" t="e">
        <f t="shared" si="43"/>
        <v>#DIV/0!</v>
      </c>
      <c r="FF28" s="12">
        <f t="shared" si="44"/>
        <v>0</v>
      </c>
      <c r="FG28" s="20"/>
      <c r="FH28" s="16"/>
      <c r="FI28" s="17"/>
      <c r="FJ28" s="17"/>
      <c r="FK28" s="18"/>
      <c r="FL28" s="11" t="e">
        <f t="shared" si="45"/>
        <v>#DIV/0!</v>
      </c>
      <c r="FM28" s="12">
        <f t="shared" si="46"/>
        <v>0</v>
      </c>
      <c r="FN28" s="20"/>
      <c r="FO28" s="16"/>
      <c r="FP28" s="17"/>
      <c r="FQ28" s="17"/>
      <c r="FR28" s="18"/>
      <c r="FS28" s="11" t="e">
        <f t="shared" si="47"/>
        <v>#DIV/0!</v>
      </c>
      <c r="FT28" s="12">
        <f t="shared" si="48"/>
        <v>0</v>
      </c>
      <c r="FU28" s="20"/>
      <c r="FV28" s="16"/>
      <c r="FW28" s="17"/>
      <c r="FX28" s="17"/>
      <c r="FY28" s="18"/>
      <c r="FZ28" s="11" t="e">
        <f t="shared" si="49"/>
        <v>#DIV/0!</v>
      </c>
      <c r="GA28" s="12">
        <f t="shared" si="50"/>
        <v>0</v>
      </c>
      <c r="GB28" s="20"/>
      <c r="GC28" s="16"/>
      <c r="GD28" s="17"/>
      <c r="GE28" s="17"/>
      <c r="GF28" s="18"/>
      <c r="GG28" s="11" t="e">
        <f t="shared" si="51"/>
        <v>#DIV/0!</v>
      </c>
      <c r="GH28" s="12">
        <f t="shared" si="52"/>
        <v>0</v>
      </c>
      <c r="GI28" s="20"/>
      <c r="GJ28" s="16"/>
      <c r="GK28" s="17"/>
      <c r="GL28" s="17"/>
      <c r="GM28" s="18"/>
      <c r="GN28" s="11" t="e">
        <f t="shared" si="53"/>
        <v>#DIV/0!</v>
      </c>
      <c r="GO28" s="12">
        <f t="shared" si="54"/>
        <v>0</v>
      </c>
      <c r="GP28" s="20"/>
      <c r="GQ28" s="16"/>
      <c r="GR28" s="17"/>
      <c r="GS28" s="17"/>
      <c r="GT28" s="18"/>
      <c r="GU28" s="11" t="e">
        <f t="shared" si="55"/>
        <v>#DIV/0!</v>
      </c>
      <c r="GV28" s="12">
        <f t="shared" si="56"/>
        <v>0</v>
      </c>
    </row>
    <row r="29" spans="1:204" s="19" customFormat="1" x14ac:dyDescent="0.15">
      <c r="A29" s="15">
        <v>26</v>
      </c>
      <c r="B29" s="20"/>
      <c r="C29" s="16"/>
      <c r="D29" s="17"/>
      <c r="E29" s="17"/>
      <c r="F29" s="18"/>
      <c r="G29" s="11" t="e">
        <f t="shared" si="57"/>
        <v>#DIV/0!</v>
      </c>
      <c r="H29" s="12">
        <f t="shared" si="0"/>
        <v>0</v>
      </c>
      <c r="I29" s="20"/>
      <c r="J29" s="16"/>
      <c r="K29" s="17"/>
      <c r="L29" s="17"/>
      <c r="M29" s="18"/>
      <c r="N29" s="11" t="e">
        <f t="shared" si="1"/>
        <v>#DIV/0!</v>
      </c>
      <c r="O29" s="12">
        <f t="shared" si="2"/>
        <v>0</v>
      </c>
      <c r="P29" s="20"/>
      <c r="Q29" s="16"/>
      <c r="R29" s="17"/>
      <c r="S29" s="17"/>
      <c r="T29" s="18"/>
      <c r="U29" s="11" t="e">
        <f t="shared" si="3"/>
        <v>#DIV/0!</v>
      </c>
      <c r="V29" s="12">
        <f t="shared" si="4"/>
        <v>0</v>
      </c>
      <c r="W29" s="20"/>
      <c r="X29" s="16"/>
      <c r="Y29" s="17"/>
      <c r="Z29" s="17"/>
      <c r="AA29" s="18"/>
      <c r="AB29" s="11" t="e">
        <f t="shared" si="5"/>
        <v>#DIV/0!</v>
      </c>
      <c r="AC29" s="12">
        <f t="shared" si="6"/>
        <v>0</v>
      </c>
      <c r="AD29" s="20"/>
      <c r="AE29" s="16"/>
      <c r="AF29" s="17"/>
      <c r="AG29" s="17"/>
      <c r="AH29" s="18"/>
      <c r="AI29" s="11" t="e">
        <f t="shared" si="7"/>
        <v>#DIV/0!</v>
      </c>
      <c r="AJ29" s="12">
        <f t="shared" si="8"/>
        <v>0</v>
      </c>
      <c r="AK29" s="20"/>
      <c r="AL29" s="16"/>
      <c r="AM29" s="17"/>
      <c r="AN29" s="17"/>
      <c r="AO29" s="18"/>
      <c r="AP29" s="11" t="e">
        <f t="shared" si="9"/>
        <v>#DIV/0!</v>
      </c>
      <c r="AQ29" s="12">
        <f t="shared" si="10"/>
        <v>0</v>
      </c>
      <c r="AR29" s="20"/>
      <c r="AS29" s="16"/>
      <c r="AT29" s="17"/>
      <c r="AU29" s="17"/>
      <c r="AV29" s="18"/>
      <c r="AW29" s="11" t="e">
        <f t="shared" si="11"/>
        <v>#DIV/0!</v>
      </c>
      <c r="AX29" s="12">
        <f t="shared" si="12"/>
        <v>0</v>
      </c>
      <c r="AY29" s="20"/>
      <c r="AZ29" s="16"/>
      <c r="BA29" s="17"/>
      <c r="BB29" s="17"/>
      <c r="BC29" s="18"/>
      <c r="BD29" s="11" t="e">
        <f t="shared" si="13"/>
        <v>#DIV/0!</v>
      </c>
      <c r="BE29" s="12">
        <f t="shared" si="14"/>
        <v>0</v>
      </c>
      <c r="BF29" s="20"/>
      <c r="BG29" s="16"/>
      <c r="BH29" s="17"/>
      <c r="BI29" s="17"/>
      <c r="BJ29" s="18"/>
      <c r="BK29" s="11" t="e">
        <f t="shared" si="15"/>
        <v>#DIV/0!</v>
      </c>
      <c r="BL29" s="12">
        <f t="shared" si="16"/>
        <v>0</v>
      </c>
      <c r="BM29" s="20"/>
      <c r="BN29" s="16"/>
      <c r="BO29" s="17"/>
      <c r="BP29" s="17"/>
      <c r="BQ29" s="18"/>
      <c r="BR29" s="11" t="e">
        <f t="shared" si="17"/>
        <v>#DIV/0!</v>
      </c>
      <c r="BS29" s="12">
        <f t="shared" si="18"/>
        <v>0</v>
      </c>
      <c r="BT29" s="20"/>
      <c r="BU29" s="16"/>
      <c r="BV29" s="17"/>
      <c r="BW29" s="17"/>
      <c r="BX29" s="18"/>
      <c r="BY29" s="11" t="e">
        <f t="shared" si="19"/>
        <v>#DIV/0!</v>
      </c>
      <c r="BZ29" s="12">
        <f t="shared" si="20"/>
        <v>0</v>
      </c>
      <c r="CA29" s="20"/>
      <c r="CB29" s="16"/>
      <c r="CC29" s="17"/>
      <c r="CD29" s="17"/>
      <c r="CE29" s="18"/>
      <c r="CF29" s="11" t="e">
        <f t="shared" si="21"/>
        <v>#DIV/0!</v>
      </c>
      <c r="CG29" s="12">
        <f t="shared" si="22"/>
        <v>0</v>
      </c>
      <c r="CH29" s="20"/>
      <c r="CI29" s="16"/>
      <c r="CJ29" s="17"/>
      <c r="CK29" s="17"/>
      <c r="CL29" s="18"/>
      <c r="CM29" s="11" t="e">
        <f t="shared" si="23"/>
        <v>#DIV/0!</v>
      </c>
      <c r="CN29" s="12">
        <f t="shared" si="24"/>
        <v>0</v>
      </c>
      <c r="CO29" s="20"/>
      <c r="CP29" s="16"/>
      <c r="CQ29" s="17"/>
      <c r="CR29" s="17"/>
      <c r="CS29" s="18"/>
      <c r="CT29" s="11" t="e">
        <f t="shared" si="25"/>
        <v>#DIV/0!</v>
      </c>
      <c r="CU29" s="12">
        <f t="shared" si="26"/>
        <v>0</v>
      </c>
      <c r="CV29" s="20"/>
      <c r="CW29" s="16"/>
      <c r="CX29" s="17"/>
      <c r="CY29" s="17"/>
      <c r="CZ29" s="18"/>
      <c r="DA29" s="11" t="e">
        <f t="shared" si="27"/>
        <v>#DIV/0!</v>
      </c>
      <c r="DB29" s="12">
        <f t="shared" si="28"/>
        <v>0</v>
      </c>
      <c r="DC29" s="20"/>
      <c r="DD29" s="16"/>
      <c r="DE29" s="17"/>
      <c r="DF29" s="17"/>
      <c r="DG29" s="18"/>
      <c r="DH29" s="11" t="e">
        <f t="shared" si="29"/>
        <v>#DIV/0!</v>
      </c>
      <c r="DI29" s="12">
        <f t="shared" si="30"/>
        <v>0</v>
      </c>
      <c r="DJ29" s="20"/>
      <c r="DK29" s="16"/>
      <c r="DL29" s="17"/>
      <c r="DM29" s="17"/>
      <c r="DN29" s="18"/>
      <c r="DO29" s="11" t="e">
        <f t="shared" si="31"/>
        <v>#DIV/0!</v>
      </c>
      <c r="DP29" s="12">
        <f t="shared" si="32"/>
        <v>0</v>
      </c>
      <c r="DQ29" s="20"/>
      <c r="DR29" s="16"/>
      <c r="DS29" s="17"/>
      <c r="DT29" s="17"/>
      <c r="DU29" s="18"/>
      <c r="DV29" s="11" t="e">
        <f t="shared" si="33"/>
        <v>#DIV/0!</v>
      </c>
      <c r="DW29" s="12">
        <f t="shared" si="34"/>
        <v>0</v>
      </c>
      <c r="DX29" s="20"/>
      <c r="DY29" s="16"/>
      <c r="DZ29" s="17"/>
      <c r="EA29" s="17"/>
      <c r="EB29" s="18"/>
      <c r="EC29" s="11" t="e">
        <f t="shared" si="35"/>
        <v>#DIV/0!</v>
      </c>
      <c r="ED29" s="12">
        <f t="shared" si="36"/>
        <v>0</v>
      </c>
      <c r="EE29" s="20"/>
      <c r="EF29" s="16"/>
      <c r="EG29" s="17"/>
      <c r="EH29" s="17"/>
      <c r="EI29" s="18"/>
      <c r="EJ29" s="11" t="e">
        <f t="shared" si="37"/>
        <v>#DIV/0!</v>
      </c>
      <c r="EK29" s="12">
        <f t="shared" si="38"/>
        <v>0</v>
      </c>
      <c r="EL29" s="20"/>
      <c r="EM29" s="16"/>
      <c r="EN29" s="17"/>
      <c r="EO29" s="17"/>
      <c r="EP29" s="18"/>
      <c r="EQ29" s="11" t="e">
        <f t="shared" si="39"/>
        <v>#DIV/0!</v>
      </c>
      <c r="ER29" s="12">
        <f t="shared" si="40"/>
        <v>0</v>
      </c>
      <c r="ES29" s="20"/>
      <c r="ET29" s="16"/>
      <c r="EU29" s="17"/>
      <c r="EV29" s="17"/>
      <c r="EW29" s="18"/>
      <c r="EX29" s="11" t="e">
        <f t="shared" si="41"/>
        <v>#DIV/0!</v>
      </c>
      <c r="EY29" s="12">
        <f t="shared" si="42"/>
        <v>0</v>
      </c>
      <c r="EZ29" s="20"/>
      <c r="FA29" s="16"/>
      <c r="FB29" s="17"/>
      <c r="FC29" s="17"/>
      <c r="FD29" s="18"/>
      <c r="FE29" s="11" t="e">
        <f t="shared" si="43"/>
        <v>#DIV/0!</v>
      </c>
      <c r="FF29" s="12">
        <f t="shared" si="44"/>
        <v>0</v>
      </c>
      <c r="FG29" s="20"/>
      <c r="FH29" s="16"/>
      <c r="FI29" s="17"/>
      <c r="FJ29" s="17"/>
      <c r="FK29" s="18"/>
      <c r="FL29" s="11" t="e">
        <f t="shared" si="45"/>
        <v>#DIV/0!</v>
      </c>
      <c r="FM29" s="12">
        <f t="shared" si="46"/>
        <v>0</v>
      </c>
      <c r="FN29" s="20"/>
      <c r="FO29" s="16"/>
      <c r="FP29" s="17"/>
      <c r="FQ29" s="17"/>
      <c r="FR29" s="18"/>
      <c r="FS29" s="11" t="e">
        <f t="shared" si="47"/>
        <v>#DIV/0!</v>
      </c>
      <c r="FT29" s="12">
        <f t="shared" si="48"/>
        <v>0</v>
      </c>
      <c r="FU29" s="20"/>
      <c r="FV29" s="16"/>
      <c r="FW29" s="17"/>
      <c r="FX29" s="17"/>
      <c r="FY29" s="18"/>
      <c r="FZ29" s="11" t="e">
        <f t="shared" si="49"/>
        <v>#DIV/0!</v>
      </c>
      <c r="GA29" s="12">
        <f t="shared" si="50"/>
        <v>0</v>
      </c>
      <c r="GB29" s="20"/>
      <c r="GC29" s="16"/>
      <c r="GD29" s="17"/>
      <c r="GE29" s="17"/>
      <c r="GF29" s="18"/>
      <c r="GG29" s="11" t="e">
        <f t="shared" si="51"/>
        <v>#DIV/0!</v>
      </c>
      <c r="GH29" s="12">
        <f t="shared" si="52"/>
        <v>0</v>
      </c>
      <c r="GI29" s="20"/>
      <c r="GJ29" s="16"/>
      <c r="GK29" s="17"/>
      <c r="GL29" s="17"/>
      <c r="GM29" s="18"/>
      <c r="GN29" s="11" t="e">
        <f t="shared" si="53"/>
        <v>#DIV/0!</v>
      </c>
      <c r="GO29" s="12">
        <f t="shared" si="54"/>
        <v>0</v>
      </c>
      <c r="GP29" s="20"/>
      <c r="GQ29" s="16"/>
      <c r="GR29" s="17"/>
      <c r="GS29" s="17"/>
      <c r="GT29" s="18"/>
      <c r="GU29" s="11" t="e">
        <f t="shared" si="55"/>
        <v>#DIV/0!</v>
      </c>
      <c r="GV29" s="12">
        <f t="shared" si="56"/>
        <v>0</v>
      </c>
    </row>
    <row r="30" spans="1:204" s="19" customFormat="1" x14ac:dyDescent="0.15">
      <c r="A30" s="15">
        <v>27</v>
      </c>
      <c r="B30" s="20"/>
      <c r="C30" s="16"/>
      <c r="D30" s="17"/>
      <c r="E30" s="17"/>
      <c r="F30" s="18"/>
      <c r="G30" s="11" t="e">
        <f t="shared" si="57"/>
        <v>#DIV/0!</v>
      </c>
      <c r="H30" s="12">
        <f t="shared" si="0"/>
        <v>0</v>
      </c>
      <c r="I30" s="20"/>
      <c r="J30" s="16"/>
      <c r="K30" s="17"/>
      <c r="L30" s="17"/>
      <c r="M30" s="18"/>
      <c r="N30" s="11" t="e">
        <f t="shared" si="1"/>
        <v>#DIV/0!</v>
      </c>
      <c r="O30" s="12">
        <f t="shared" si="2"/>
        <v>0</v>
      </c>
      <c r="P30" s="20"/>
      <c r="Q30" s="16"/>
      <c r="R30" s="17"/>
      <c r="S30" s="17"/>
      <c r="T30" s="18"/>
      <c r="U30" s="11" t="e">
        <f t="shared" si="3"/>
        <v>#DIV/0!</v>
      </c>
      <c r="V30" s="12">
        <f t="shared" si="4"/>
        <v>0</v>
      </c>
      <c r="W30" s="20"/>
      <c r="X30" s="16"/>
      <c r="Y30" s="17"/>
      <c r="Z30" s="17"/>
      <c r="AA30" s="18"/>
      <c r="AB30" s="11" t="e">
        <f t="shared" si="5"/>
        <v>#DIV/0!</v>
      </c>
      <c r="AC30" s="12">
        <f t="shared" si="6"/>
        <v>0</v>
      </c>
      <c r="AD30" s="20"/>
      <c r="AE30" s="16"/>
      <c r="AF30" s="17"/>
      <c r="AG30" s="17"/>
      <c r="AH30" s="18"/>
      <c r="AI30" s="11" t="e">
        <f t="shared" si="7"/>
        <v>#DIV/0!</v>
      </c>
      <c r="AJ30" s="12">
        <f t="shared" si="8"/>
        <v>0</v>
      </c>
      <c r="AK30" s="20"/>
      <c r="AL30" s="16"/>
      <c r="AM30" s="17"/>
      <c r="AN30" s="17"/>
      <c r="AO30" s="18"/>
      <c r="AP30" s="11" t="e">
        <f t="shared" si="9"/>
        <v>#DIV/0!</v>
      </c>
      <c r="AQ30" s="12">
        <f t="shared" si="10"/>
        <v>0</v>
      </c>
      <c r="AR30" s="20"/>
      <c r="AS30" s="16"/>
      <c r="AT30" s="17"/>
      <c r="AU30" s="17"/>
      <c r="AV30" s="18"/>
      <c r="AW30" s="11" t="e">
        <f t="shared" si="11"/>
        <v>#DIV/0!</v>
      </c>
      <c r="AX30" s="12">
        <f t="shared" si="12"/>
        <v>0</v>
      </c>
      <c r="AY30" s="20"/>
      <c r="AZ30" s="16"/>
      <c r="BA30" s="17"/>
      <c r="BB30" s="17"/>
      <c r="BC30" s="18"/>
      <c r="BD30" s="11" t="e">
        <f t="shared" si="13"/>
        <v>#DIV/0!</v>
      </c>
      <c r="BE30" s="12">
        <f t="shared" si="14"/>
        <v>0</v>
      </c>
      <c r="BF30" s="20"/>
      <c r="BG30" s="16"/>
      <c r="BH30" s="17"/>
      <c r="BI30" s="17"/>
      <c r="BJ30" s="18"/>
      <c r="BK30" s="11" t="e">
        <f t="shared" si="15"/>
        <v>#DIV/0!</v>
      </c>
      <c r="BL30" s="12">
        <f t="shared" si="16"/>
        <v>0</v>
      </c>
      <c r="BM30" s="20"/>
      <c r="BN30" s="16"/>
      <c r="BO30" s="17"/>
      <c r="BP30" s="17"/>
      <c r="BQ30" s="18"/>
      <c r="BR30" s="11" t="e">
        <f t="shared" si="17"/>
        <v>#DIV/0!</v>
      </c>
      <c r="BS30" s="12">
        <f t="shared" si="18"/>
        <v>0</v>
      </c>
      <c r="BT30" s="20"/>
      <c r="BU30" s="16"/>
      <c r="BV30" s="17"/>
      <c r="BW30" s="17"/>
      <c r="BX30" s="18"/>
      <c r="BY30" s="11" t="e">
        <f t="shared" si="19"/>
        <v>#DIV/0!</v>
      </c>
      <c r="BZ30" s="12">
        <f t="shared" si="20"/>
        <v>0</v>
      </c>
      <c r="CA30" s="20"/>
      <c r="CB30" s="16"/>
      <c r="CC30" s="17"/>
      <c r="CD30" s="17"/>
      <c r="CE30" s="18"/>
      <c r="CF30" s="11" t="e">
        <f t="shared" si="21"/>
        <v>#DIV/0!</v>
      </c>
      <c r="CG30" s="12">
        <f t="shared" si="22"/>
        <v>0</v>
      </c>
      <c r="CH30" s="20"/>
      <c r="CI30" s="16"/>
      <c r="CJ30" s="17"/>
      <c r="CK30" s="17"/>
      <c r="CL30" s="18"/>
      <c r="CM30" s="11" t="e">
        <f t="shared" si="23"/>
        <v>#DIV/0!</v>
      </c>
      <c r="CN30" s="12">
        <f t="shared" si="24"/>
        <v>0</v>
      </c>
      <c r="CO30" s="20"/>
      <c r="CP30" s="16"/>
      <c r="CQ30" s="17"/>
      <c r="CR30" s="17"/>
      <c r="CS30" s="18"/>
      <c r="CT30" s="11" t="e">
        <f t="shared" si="25"/>
        <v>#DIV/0!</v>
      </c>
      <c r="CU30" s="12">
        <f t="shared" si="26"/>
        <v>0</v>
      </c>
      <c r="CV30" s="20"/>
      <c r="CW30" s="16"/>
      <c r="CX30" s="17"/>
      <c r="CY30" s="17"/>
      <c r="CZ30" s="18"/>
      <c r="DA30" s="11" t="e">
        <f t="shared" si="27"/>
        <v>#DIV/0!</v>
      </c>
      <c r="DB30" s="12">
        <f t="shared" si="28"/>
        <v>0</v>
      </c>
      <c r="DC30" s="20"/>
      <c r="DD30" s="16"/>
      <c r="DE30" s="17"/>
      <c r="DF30" s="17"/>
      <c r="DG30" s="18"/>
      <c r="DH30" s="11" t="e">
        <f t="shared" si="29"/>
        <v>#DIV/0!</v>
      </c>
      <c r="DI30" s="12">
        <f t="shared" si="30"/>
        <v>0</v>
      </c>
      <c r="DJ30" s="20"/>
      <c r="DK30" s="16"/>
      <c r="DL30" s="17"/>
      <c r="DM30" s="17"/>
      <c r="DN30" s="18"/>
      <c r="DO30" s="11" t="e">
        <f t="shared" si="31"/>
        <v>#DIV/0!</v>
      </c>
      <c r="DP30" s="12">
        <f t="shared" si="32"/>
        <v>0</v>
      </c>
      <c r="DQ30" s="20"/>
      <c r="DR30" s="16"/>
      <c r="DS30" s="17"/>
      <c r="DT30" s="17"/>
      <c r="DU30" s="18"/>
      <c r="DV30" s="11" t="e">
        <f t="shared" si="33"/>
        <v>#DIV/0!</v>
      </c>
      <c r="DW30" s="12">
        <f t="shared" si="34"/>
        <v>0</v>
      </c>
      <c r="DX30" s="20"/>
      <c r="DY30" s="16"/>
      <c r="DZ30" s="17"/>
      <c r="EA30" s="17"/>
      <c r="EB30" s="18"/>
      <c r="EC30" s="11" t="e">
        <f t="shared" si="35"/>
        <v>#DIV/0!</v>
      </c>
      <c r="ED30" s="12">
        <f t="shared" si="36"/>
        <v>0</v>
      </c>
      <c r="EE30" s="20"/>
      <c r="EF30" s="16"/>
      <c r="EG30" s="17"/>
      <c r="EH30" s="17"/>
      <c r="EI30" s="18"/>
      <c r="EJ30" s="11" t="e">
        <f t="shared" si="37"/>
        <v>#DIV/0!</v>
      </c>
      <c r="EK30" s="12">
        <f t="shared" si="38"/>
        <v>0</v>
      </c>
      <c r="EL30" s="20"/>
      <c r="EM30" s="16"/>
      <c r="EN30" s="17"/>
      <c r="EO30" s="17"/>
      <c r="EP30" s="18"/>
      <c r="EQ30" s="11" t="e">
        <f t="shared" si="39"/>
        <v>#DIV/0!</v>
      </c>
      <c r="ER30" s="12">
        <f t="shared" si="40"/>
        <v>0</v>
      </c>
      <c r="ES30" s="20"/>
      <c r="ET30" s="16"/>
      <c r="EU30" s="17"/>
      <c r="EV30" s="17"/>
      <c r="EW30" s="18"/>
      <c r="EX30" s="11" t="e">
        <f t="shared" si="41"/>
        <v>#DIV/0!</v>
      </c>
      <c r="EY30" s="12">
        <f t="shared" si="42"/>
        <v>0</v>
      </c>
      <c r="EZ30" s="20"/>
      <c r="FA30" s="16"/>
      <c r="FB30" s="17"/>
      <c r="FC30" s="17"/>
      <c r="FD30" s="18"/>
      <c r="FE30" s="11" t="e">
        <f t="shared" si="43"/>
        <v>#DIV/0!</v>
      </c>
      <c r="FF30" s="12">
        <f t="shared" si="44"/>
        <v>0</v>
      </c>
      <c r="FG30" s="20"/>
      <c r="FH30" s="16"/>
      <c r="FI30" s="17"/>
      <c r="FJ30" s="17"/>
      <c r="FK30" s="18"/>
      <c r="FL30" s="11" t="e">
        <f t="shared" si="45"/>
        <v>#DIV/0!</v>
      </c>
      <c r="FM30" s="12">
        <f t="shared" si="46"/>
        <v>0</v>
      </c>
      <c r="FN30" s="20"/>
      <c r="FO30" s="16"/>
      <c r="FP30" s="17"/>
      <c r="FQ30" s="17"/>
      <c r="FR30" s="18"/>
      <c r="FS30" s="11" t="e">
        <f t="shared" si="47"/>
        <v>#DIV/0!</v>
      </c>
      <c r="FT30" s="12">
        <f t="shared" si="48"/>
        <v>0</v>
      </c>
      <c r="FU30" s="20"/>
      <c r="FV30" s="16"/>
      <c r="FW30" s="17"/>
      <c r="FX30" s="17"/>
      <c r="FY30" s="18"/>
      <c r="FZ30" s="11" t="e">
        <f t="shared" si="49"/>
        <v>#DIV/0!</v>
      </c>
      <c r="GA30" s="12">
        <f t="shared" si="50"/>
        <v>0</v>
      </c>
      <c r="GB30" s="20"/>
      <c r="GC30" s="16"/>
      <c r="GD30" s="17"/>
      <c r="GE30" s="17"/>
      <c r="GF30" s="18"/>
      <c r="GG30" s="11" t="e">
        <f t="shared" si="51"/>
        <v>#DIV/0!</v>
      </c>
      <c r="GH30" s="12">
        <f t="shared" si="52"/>
        <v>0</v>
      </c>
      <c r="GI30" s="20"/>
      <c r="GJ30" s="16"/>
      <c r="GK30" s="17"/>
      <c r="GL30" s="17"/>
      <c r="GM30" s="18"/>
      <c r="GN30" s="11" t="e">
        <f t="shared" si="53"/>
        <v>#DIV/0!</v>
      </c>
      <c r="GO30" s="12">
        <f t="shared" si="54"/>
        <v>0</v>
      </c>
      <c r="GP30" s="20"/>
      <c r="GQ30" s="16"/>
      <c r="GR30" s="17"/>
      <c r="GS30" s="17"/>
      <c r="GT30" s="18"/>
      <c r="GU30" s="11" t="e">
        <f t="shared" si="55"/>
        <v>#DIV/0!</v>
      </c>
      <c r="GV30" s="12">
        <f t="shared" si="56"/>
        <v>0</v>
      </c>
    </row>
    <row r="31" spans="1:204" s="19" customFormat="1" x14ac:dyDescent="0.15">
      <c r="A31" s="15">
        <v>28</v>
      </c>
      <c r="B31" s="20"/>
      <c r="C31" s="16"/>
      <c r="D31" s="17"/>
      <c r="E31" s="17"/>
      <c r="F31" s="18"/>
      <c r="G31" s="11" t="e">
        <f t="shared" si="57"/>
        <v>#DIV/0!</v>
      </c>
      <c r="H31" s="12">
        <f t="shared" si="0"/>
        <v>0</v>
      </c>
      <c r="I31" s="20"/>
      <c r="J31" s="16"/>
      <c r="K31" s="17"/>
      <c r="L31" s="17"/>
      <c r="M31" s="18"/>
      <c r="N31" s="11" t="e">
        <f t="shared" si="1"/>
        <v>#DIV/0!</v>
      </c>
      <c r="O31" s="12">
        <f t="shared" si="2"/>
        <v>0</v>
      </c>
      <c r="P31" s="20"/>
      <c r="Q31" s="16"/>
      <c r="R31" s="17"/>
      <c r="S31" s="17"/>
      <c r="T31" s="18"/>
      <c r="U31" s="11" t="e">
        <f t="shared" si="3"/>
        <v>#DIV/0!</v>
      </c>
      <c r="V31" s="12">
        <f t="shared" si="4"/>
        <v>0</v>
      </c>
      <c r="W31" s="20"/>
      <c r="X31" s="16"/>
      <c r="Y31" s="17"/>
      <c r="Z31" s="17"/>
      <c r="AA31" s="18"/>
      <c r="AB31" s="11" t="e">
        <f t="shared" si="5"/>
        <v>#DIV/0!</v>
      </c>
      <c r="AC31" s="12">
        <f t="shared" si="6"/>
        <v>0</v>
      </c>
      <c r="AD31" s="20"/>
      <c r="AE31" s="16"/>
      <c r="AF31" s="17"/>
      <c r="AG31" s="17"/>
      <c r="AH31" s="18"/>
      <c r="AI31" s="11" t="e">
        <f t="shared" si="7"/>
        <v>#DIV/0!</v>
      </c>
      <c r="AJ31" s="12">
        <f t="shared" si="8"/>
        <v>0</v>
      </c>
      <c r="AK31" s="20"/>
      <c r="AL31" s="16"/>
      <c r="AM31" s="17"/>
      <c r="AN31" s="17"/>
      <c r="AO31" s="18"/>
      <c r="AP31" s="11" t="e">
        <f t="shared" si="9"/>
        <v>#DIV/0!</v>
      </c>
      <c r="AQ31" s="12">
        <f t="shared" si="10"/>
        <v>0</v>
      </c>
      <c r="AR31" s="20"/>
      <c r="AS31" s="16"/>
      <c r="AT31" s="17"/>
      <c r="AU31" s="17"/>
      <c r="AV31" s="18"/>
      <c r="AW31" s="11" t="e">
        <f t="shared" si="11"/>
        <v>#DIV/0!</v>
      </c>
      <c r="AX31" s="12">
        <f t="shared" si="12"/>
        <v>0</v>
      </c>
      <c r="AY31" s="20"/>
      <c r="AZ31" s="16"/>
      <c r="BA31" s="17"/>
      <c r="BB31" s="17"/>
      <c r="BC31" s="18"/>
      <c r="BD31" s="11" t="e">
        <f t="shared" si="13"/>
        <v>#DIV/0!</v>
      </c>
      <c r="BE31" s="12">
        <f t="shared" si="14"/>
        <v>0</v>
      </c>
      <c r="BF31" s="20"/>
      <c r="BG31" s="16"/>
      <c r="BH31" s="17"/>
      <c r="BI31" s="17"/>
      <c r="BJ31" s="18"/>
      <c r="BK31" s="11" t="e">
        <f t="shared" si="15"/>
        <v>#DIV/0!</v>
      </c>
      <c r="BL31" s="12">
        <f t="shared" si="16"/>
        <v>0</v>
      </c>
      <c r="BM31" s="20"/>
      <c r="BN31" s="16"/>
      <c r="BO31" s="17"/>
      <c r="BP31" s="17"/>
      <c r="BQ31" s="18"/>
      <c r="BR31" s="11" t="e">
        <f t="shared" si="17"/>
        <v>#DIV/0!</v>
      </c>
      <c r="BS31" s="12">
        <f t="shared" si="18"/>
        <v>0</v>
      </c>
      <c r="BT31" s="20"/>
      <c r="BU31" s="16"/>
      <c r="BV31" s="17"/>
      <c r="BW31" s="17"/>
      <c r="BX31" s="18"/>
      <c r="BY31" s="11" t="e">
        <f t="shared" si="19"/>
        <v>#DIV/0!</v>
      </c>
      <c r="BZ31" s="12">
        <f t="shared" si="20"/>
        <v>0</v>
      </c>
      <c r="CA31" s="20"/>
      <c r="CB31" s="16"/>
      <c r="CC31" s="17"/>
      <c r="CD31" s="17"/>
      <c r="CE31" s="18"/>
      <c r="CF31" s="11" t="e">
        <f t="shared" si="21"/>
        <v>#DIV/0!</v>
      </c>
      <c r="CG31" s="12">
        <f t="shared" si="22"/>
        <v>0</v>
      </c>
      <c r="CH31" s="20"/>
      <c r="CI31" s="16"/>
      <c r="CJ31" s="17"/>
      <c r="CK31" s="17"/>
      <c r="CL31" s="18"/>
      <c r="CM31" s="11" t="e">
        <f t="shared" si="23"/>
        <v>#DIV/0!</v>
      </c>
      <c r="CN31" s="12">
        <f t="shared" si="24"/>
        <v>0</v>
      </c>
      <c r="CO31" s="20"/>
      <c r="CP31" s="16"/>
      <c r="CQ31" s="17"/>
      <c r="CR31" s="17"/>
      <c r="CS31" s="18"/>
      <c r="CT31" s="11" t="e">
        <f t="shared" si="25"/>
        <v>#DIV/0!</v>
      </c>
      <c r="CU31" s="12">
        <f t="shared" si="26"/>
        <v>0</v>
      </c>
      <c r="CV31" s="20"/>
      <c r="CW31" s="16"/>
      <c r="CX31" s="17"/>
      <c r="CY31" s="17"/>
      <c r="CZ31" s="18"/>
      <c r="DA31" s="11" t="e">
        <f t="shared" si="27"/>
        <v>#DIV/0!</v>
      </c>
      <c r="DB31" s="12">
        <f t="shared" si="28"/>
        <v>0</v>
      </c>
      <c r="DC31" s="20"/>
      <c r="DD31" s="16"/>
      <c r="DE31" s="17"/>
      <c r="DF31" s="17"/>
      <c r="DG31" s="18"/>
      <c r="DH31" s="11" t="e">
        <f t="shared" si="29"/>
        <v>#DIV/0!</v>
      </c>
      <c r="DI31" s="12">
        <f t="shared" si="30"/>
        <v>0</v>
      </c>
      <c r="DJ31" s="20"/>
      <c r="DK31" s="16"/>
      <c r="DL31" s="17"/>
      <c r="DM31" s="17"/>
      <c r="DN31" s="18"/>
      <c r="DO31" s="11" t="e">
        <f t="shared" si="31"/>
        <v>#DIV/0!</v>
      </c>
      <c r="DP31" s="12">
        <f t="shared" si="32"/>
        <v>0</v>
      </c>
      <c r="DQ31" s="20"/>
      <c r="DR31" s="16"/>
      <c r="DS31" s="17"/>
      <c r="DT31" s="17"/>
      <c r="DU31" s="18"/>
      <c r="DV31" s="11" t="e">
        <f t="shared" si="33"/>
        <v>#DIV/0!</v>
      </c>
      <c r="DW31" s="12">
        <f t="shared" si="34"/>
        <v>0</v>
      </c>
      <c r="DX31" s="20"/>
      <c r="DY31" s="16"/>
      <c r="DZ31" s="17"/>
      <c r="EA31" s="17"/>
      <c r="EB31" s="18"/>
      <c r="EC31" s="11" t="e">
        <f t="shared" si="35"/>
        <v>#DIV/0!</v>
      </c>
      <c r="ED31" s="12">
        <f t="shared" si="36"/>
        <v>0</v>
      </c>
      <c r="EE31" s="20"/>
      <c r="EF31" s="16"/>
      <c r="EG31" s="17"/>
      <c r="EH31" s="17"/>
      <c r="EI31" s="18"/>
      <c r="EJ31" s="11" t="e">
        <f t="shared" si="37"/>
        <v>#DIV/0!</v>
      </c>
      <c r="EK31" s="12">
        <f t="shared" si="38"/>
        <v>0</v>
      </c>
      <c r="EL31" s="20"/>
      <c r="EM31" s="16"/>
      <c r="EN31" s="17"/>
      <c r="EO31" s="17"/>
      <c r="EP31" s="18"/>
      <c r="EQ31" s="11" t="e">
        <f t="shared" si="39"/>
        <v>#DIV/0!</v>
      </c>
      <c r="ER31" s="12">
        <f t="shared" si="40"/>
        <v>0</v>
      </c>
      <c r="ES31" s="20"/>
      <c r="ET31" s="16"/>
      <c r="EU31" s="17"/>
      <c r="EV31" s="17"/>
      <c r="EW31" s="18"/>
      <c r="EX31" s="11" t="e">
        <f t="shared" si="41"/>
        <v>#DIV/0!</v>
      </c>
      <c r="EY31" s="12">
        <f t="shared" si="42"/>
        <v>0</v>
      </c>
      <c r="EZ31" s="20"/>
      <c r="FA31" s="16"/>
      <c r="FB31" s="17"/>
      <c r="FC31" s="17"/>
      <c r="FD31" s="18"/>
      <c r="FE31" s="11" t="e">
        <f t="shared" si="43"/>
        <v>#DIV/0!</v>
      </c>
      <c r="FF31" s="12">
        <f t="shared" si="44"/>
        <v>0</v>
      </c>
      <c r="FG31" s="20"/>
      <c r="FH31" s="16"/>
      <c r="FI31" s="17"/>
      <c r="FJ31" s="17"/>
      <c r="FK31" s="18"/>
      <c r="FL31" s="11" t="e">
        <f t="shared" si="45"/>
        <v>#DIV/0!</v>
      </c>
      <c r="FM31" s="12">
        <f t="shared" si="46"/>
        <v>0</v>
      </c>
      <c r="FN31" s="20"/>
      <c r="FO31" s="16"/>
      <c r="FP31" s="17"/>
      <c r="FQ31" s="17"/>
      <c r="FR31" s="18"/>
      <c r="FS31" s="11" t="e">
        <f t="shared" si="47"/>
        <v>#DIV/0!</v>
      </c>
      <c r="FT31" s="12">
        <f t="shared" si="48"/>
        <v>0</v>
      </c>
      <c r="FU31" s="20"/>
      <c r="FV31" s="16"/>
      <c r="FW31" s="17"/>
      <c r="FX31" s="17"/>
      <c r="FY31" s="18"/>
      <c r="FZ31" s="11" t="e">
        <f t="shared" si="49"/>
        <v>#DIV/0!</v>
      </c>
      <c r="GA31" s="12">
        <f t="shared" si="50"/>
        <v>0</v>
      </c>
      <c r="GB31" s="20"/>
      <c r="GC31" s="16"/>
      <c r="GD31" s="17"/>
      <c r="GE31" s="17"/>
      <c r="GF31" s="18"/>
      <c r="GG31" s="11" t="e">
        <f t="shared" si="51"/>
        <v>#DIV/0!</v>
      </c>
      <c r="GH31" s="12">
        <f t="shared" si="52"/>
        <v>0</v>
      </c>
      <c r="GI31" s="20"/>
      <c r="GJ31" s="16"/>
      <c r="GK31" s="17"/>
      <c r="GL31" s="17"/>
      <c r="GM31" s="18"/>
      <c r="GN31" s="11" t="e">
        <f t="shared" si="53"/>
        <v>#DIV/0!</v>
      </c>
      <c r="GO31" s="12">
        <f t="shared" si="54"/>
        <v>0</v>
      </c>
      <c r="GP31" s="20"/>
      <c r="GQ31" s="16"/>
      <c r="GR31" s="17"/>
      <c r="GS31" s="17"/>
      <c r="GT31" s="18"/>
      <c r="GU31" s="11" t="e">
        <f t="shared" si="55"/>
        <v>#DIV/0!</v>
      </c>
      <c r="GV31" s="12">
        <f t="shared" si="56"/>
        <v>0</v>
      </c>
    </row>
    <row r="32" spans="1:204" s="19" customFormat="1" x14ac:dyDescent="0.15">
      <c r="A32" s="15">
        <v>29</v>
      </c>
      <c r="B32" s="20"/>
      <c r="C32" s="16"/>
      <c r="D32" s="17"/>
      <c r="E32" s="17"/>
      <c r="F32" s="18"/>
      <c r="G32" s="11" t="e">
        <f t="shared" si="57"/>
        <v>#DIV/0!</v>
      </c>
      <c r="H32" s="12">
        <f t="shared" si="0"/>
        <v>0</v>
      </c>
      <c r="I32" s="20"/>
      <c r="J32" s="16"/>
      <c r="K32" s="17"/>
      <c r="L32" s="17"/>
      <c r="M32" s="18"/>
      <c r="N32" s="11" t="e">
        <f t="shared" si="1"/>
        <v>#DIV/0!</v>
      </c>
      <c r="O32" s="12">
        <f t="shared" si="2"/>
        <v>0</v>
      </c>
      <c r="P32" s="20"/>
      <c r="Q32" s="16"/>
      <c r="R32" s="17"/>
      <c r="S32" s="17"/>
      <c r="T32" s="18"/>
      <c r="U32" s="11" t="e">
        <f t="shared" si="3"/>
        <v>#DIV/0!</v>
      </c>
      <c r="V32" s="12">
        <f t="shared" si="4"/>
        <v>0</v>
      </c>
      <c r="W32" s="20"/>
      <c r="X32" s="16"/>
      <c r="Y32" s="17"/>
      <c r="Z32" s="17"/>
      <c r="AA32" s="18"/>
      <c r="AB32" s="11" t="e">
        <f t="shared" si="5"/>
        <v>#DIV/0!</v>
      </c>
      <c r="AC32" s="12">
        <f t="shared" si="6"/>
        <v>0</v>
      </c>
      <c r="AD32" s="20"/>
      <c r="AE32" s="16"/>
      <c r="AF32" s="17"/>
      <c r="AG32" s="17"/>
      <c r="AH32" s="18"/>
      <c r="AI32" s="11" t="e">
        <f t="shared" si="7"/>
        <v>#DIV/0!</v>
      </c>
      <c r="AJ32" s="12">
        <f t="shared" si="8"/>
        <v>0</v>
      </c>
      <c r="AK32" s="20"/>
      <c r="AL32" s="16"/>
      <c r="AM32" s="17"/>
      <c r="AN32" s="17"/>
      <c r="AO32" s="18"/>
      <c r="AP32" s="11" t="e">
        <f t="shared" si="9"/>
        <v>#DIV/0!</v>
      </c>
      <c r="AQ32" s="12">
        <f t="shared" si="10"/>
        <v>0</v>
      </c>
      <c r="AR32" s="20"/>
      <c r="AS32" s="16"/>
      <c r="AT32" s="17"/>
      <c r="AU32" s="17"/>
      <c r="AV32" s="18"/>
      <c r="AW32" s="11" t="e">
        <f t="shared" si="11"/>
        <v>#DIV/0!</v>
      </c>
      <c r="AX32" s="12">
        <f t="shared" si="12"/>
        <v>0</v>
      </c>
      <c r="AY32" s="20"/>
      <c r="AZ32" s="16"/>
      <c r="BA32" s="17"/>
      <c r="BB32" s="17"/>
      <c r="BC32" s="18"/>
      <c r="BD32" s="11" t="e">
        <f t="shared" si="13"/>
        <v>#DIV/0!</v>
      </c>
      <c r="BE32" s="12">
        <f t="shared" si="14"/>
        <v>0</v>
      </c>
      <c r="BF32" s="20"/>
      <c r="BG32" s="16"/>
      <c r="BH32" s="17"/>
      <c r="BI32" s="17"/>
      <c r="BJ32" s="18"/>
      <c r="BK32" s="11" t="e">
        <f t="shared" si="15"/>
        <v>#DIV/0!</v>
      </c>
      <c r="BL32" s="12">
        <f t="shared" si="16"/>
        <v>0</v>
      </c>
      <c r="BM32" s="20"/>
      <c r="BN32" s="16"/>
      <c r="BO32" s="17"/>
      <c r="BP32" s="17"/>
      <c r="BQ32" s="18"/>
      <c r="BR32" s="11" t="e">
        <f t="shared" si="17"/>
        <v>#DIV/0!</v>
      </c>
      <c r="BS32" s="12">
        <f t="shared" si="18"/>
        <v>0</v>
      </c>
      <c r="BT32" s="20"/>
      <c r="BU32" s="16"/>
      <c r="BV32" s="17"/>
      <c r="BW32" s="17"/>
      <c r="BX32" s="18"/>
      <c r="BY32" s="11" t="e">
        <f t="shared" si="19"/>
        <v>#DIV/0!</v>
      </c>
      <c r="BZ32" s="12">
        <f t="shared" si="20"/>
        <v>0</v>
      </c>
      <c r="CA32" s="20"/>
      <c r="CB32" s="16"/>
      <c r="CC32" s="17"/>
      <c r="CD32" s="17"/>
      <c r="CE32" s="18"/>
      <c r="CF32" s="11" t="e">
        <f t="shared" si="21"/>
        <v>#DIV/0!</v>
      </c>
      <c r="CG32" s="12">
        <f t="shared" si="22"/>
        <v>0</v>
      </c>
      <c r="CH32" s="20"/>
      <c r="CI32" s="16"/>
      <c r="CJ32" s="17"/>
      <c r="CK32" s="17"/>
      <c r="CL32" s="18"/>
      <c r="CM32" s="11" t="e">
        <f t="shared" si="23"/>
        <v>#DIV/0!</v>
      </c>
      <c r="CN32" s="12">
        <f t="shared" si="24"/>
        <v>0</v>
      </c>
      <c r="CO32" s="20"/>
      <c r="CP32" s="16"/>
      <c r="CQ32" s="17"/>
      <c r="CR32" s="17"/>
      <c r="CS32" s="18"/>
      <c r="CT32" s="11" t="e">
        <f t="shared" si="25"/>
        <v>#DIV/0!</v>
      </c>
      <c r="CU32" s="12">
        <f t="shared" si="26"/>
        <v>0</v>
      </c>
      <c r="CV32" s="20"/>
      <c r="CW32" s="16"/>
      <c r="CX32" s="17"/>
      <c r="CY32" s="17"/>
      <c r="CZ32" s="18"/>
      <c r="DA32" s="11" t="e">
        <f t="shared" si="27"/>
        <v>#DIV/0!</v>
      </c>
      <c r="DB32" s="12">
        <f t="shared" si="28"/>
        <v>0</v>
      </c>
      <c r="DC32" s="20"/>
      <c r="DD32" s="16"/>
      <c r="DE32" s="17"/>
      <c r="DF32" s="17"/>
      <c r="DG32" s="18"/>
      <c r="DH32" s="11" t="e">
        <f t="shared" si="29"/>
        <v>#DIV/0!</v>
      </c>
      <c r="DI32" s="12">
        <f t="shared" si="30"/>
        <v>0</v>
      </c>
      <c r="DJ32" s="20"/>
      <c r="DK32" s="16"/>
      <c r="DL32" s="17"/>
      <c r="DM32" s="17"/>
      <c r="DN32" s="18"/>
      <c r="DO32" s="11" t="e">
        <f t="shared" si="31"/>
        <v>#DIV/0!</v>
      </c>
      <c r="DP32" s="12">
        <f t="shared" si="32"/>
        <v>0</v>
      </c>
      <c r="DQ32" s="20"/>
      <c r="DR32" s="16"/>
      <c r="DS32" s="17"/>
      <c r="DT32" s="17"/>
      <c r="DU32" s="18"/>
      <c r="DV32" s="11" t="e">
        <f t="shared" si="33"/>
        <v>#DIV/0!</v>
      </c>
      <c r="DW32" s="12">
        <f t="shared" si="34"/>
        <v>0</v>
      </c>
      <c r="DX32" s="20"/>
      <c r="DY32" s="16"/>
      <c r="DZ32" s="17"/>
      <c r="EA32" s="17"/>
      <c r="EB32" s="18"/>
      <c r="EC32" s="11" t="e">
        <f t="shared" si="35"/>
        <v>#DIV/0!</v>
      </c>
      <c r="ED32" s="12">
        <f t="shared" si="36"/>
        <v>0</v>
      </c>
      <c r="EE32" s="20"/>
      <c r="EF32" s="16"/>
      <c r="EG32" s="17"/>
      <c r="EH32" s="17"/>
      <c r="EI32" s="18"/>
      <c r="EJ32" s="11" t="e">
        <f t="shared" si="37"/>
        <v>#DIV/0!</v>
      </c>
      <c r="EK32" s="12">
        <f t="shared" si="38"/>
        <v>0</v>
      </c>
      <c r="EL32" s="20"/>
      <c r="EM32" s="16"/>
      <c r="EN32" s="17"/>
      <c r="EO32" s="17"/>
      <c r="EP32" s="18"/>
      <c r="EQ32" s="11" t="e">
        <f t="shared" si="39"/>
        <v>#DIV/0!</v>
      </c>
      <c r="ER32" s="12">
        <f t="shared" si="40"/>
        <v>0</v>
      </c>
      <c r="ES32" s="20"/>
      <c r="ET32" s="16"/>
      <c r="EU32" s="17"/>
      <c r="EV32" s="17"/>
      <c r="EW32" s="18"/>
      <c r="EX32" s="11" t="e">
        <f t="shared" si="41"/>
        <v>#DIV/0!</v>
      </c>
      <c r="EY32" s="12">
        <f t="shared" si="42"/>
        <v>0</v>
      </c>
      <c r="EZ32" s="20"/>
      <c r="FA32" s="16"/>
      <c r="FB32" s="17"/>
      <c r="FC32" s="17"/>
      <c r="FD32" s="18"/>
      <c r="FE32" s="11" t="e">
        <f t="shared" si="43"/>
        <v>#DIV/0!</v>
      </c>
      <c r="FF32" s="12">
        <f t="shared" si="44"/>
        <v>0</v>
      </c>
      <c r="FG32" s="20"/>
      <c r="FH32" s="16"/>
      <c r="FI32" s="17"/>
      <c r="FJ32" s="17"/>
      <c r="FK32" s="18"/>
      <c r="FL32" s="11" t="e">
        <f t="shared" si="45"/>
        <v>#DIV/0!</v>
      </c>
      <c r="FM32" s="12">
        <f t="shared" si="46"/>
        <v>0</v>
      </c>
      <c r="FN32" s="20"/>
      <c r="FO32" s="16"/>
      <c r="FP32" s="17"/>
      <c r="FQ32" s="17"/>
      <c r="FR32" s="18"/>
      <c r="FS32" s="11" t="e">
        <f t="shared" si="47"/>
        <v>#DIV/0!</v>
      </c>
      <c r="FT32" s="12">
        <f t="shared" si="48"/>
        <v>0</v>
      </c>
      <c r="FU32" s="20"/>
      <c r="FV32" s="16"/>
      <c r="FW32" s="17"/>
      <c r="FX32" s="17"/>
      <c r="FY32" s="18"/>
      <c r="FZ32" s="11" t="e">
        <f t="shared" si="49"/>
        <v>#DIV/0!</v>
      </c>
      <c r="GA32" s="12">
        <f t="shared" si="50"/>
        <v>0</v>
      </c>
      <c r="GB32" s="20"/>
      <c r="GC32" s="16"/>
      <c r="GD32" s="17"/>
      <c r="GE32" s="17"/>
      <c r="GF32" s="18"/>
      <c r="GG32" s="11" t="e">
        <f t="shared" si="51"/>
        <v>#DIV/0!</v>
      </c>
      <c r="GH32" s="12">
        <f t="shared" si="52"/>
        <v>0</v>
      </c>
      <c r="GI32" s="20"/>
      <c r="GJ32" s="16"/>
      <c r="GK32" s="17"/>
      <c r="GL32" s="17"/>
      <c r="GM32" s="18"/>
      <c r="GN32" s="11" t="e">
        <f t="shared" si="53"/>
        <v>#DIV/0!</v>
      </c>
      <c r="GO32" s="12">
        <f t="shared" si="54"/>
        <v>0</v>
      </c>
      <c r="GP32" s="20"/>
      <c r="GQ32" s="16"/>
      <c r="GR32" s="17"/>
      <c r="GS32" s="17"/>
      <c r="GT32" s="18"/>
      <c r="GU32" s="11" t="e">
        <f t="shared" si="55"/>
        <v>#DIV/0!</v>
      </c>
      <c r="GV32" s="12">
        <f t="shared" si="56"/>
        <v>0</v>
      </c>
    </row>
    <row r="33" spans="1:204" s="19" customFormat="1" x14ac:dyDescent="0.15">
      <c r="A33" s="15">
        <v>30</v>
      </c>
      <c r="B33" s="20"/>
      <c r="C33" s="16"/>
      <c r="D33" s="17"/>
      <c r="E33" s="17"/>
      <c r="F33" s="18"/>
      <c r="G33" s="11" t="e">
        <f t="shared" si="57"/>
        <v>#DIV/0!</v>
      </c>
      <c r="H33" s="12">
        <f t="shared" si="0"/>
        <v>0</v>
      </c>
      <c r="I33" s="20"/>
      <c r="J33" s="16"/>
      <c r="K33" s="17"/>
      <c r="L33" s="17"/>
      <c r="M33" s="18"/>
      <c r="N33" s="11" t="e">
        <f t="shared" si="1"/>
        <v>#DIV/0!</v>
      </c>
      <c r="O33" s="12">
        <f t="shared" si="2"/>
        <v>0</v>
      </c>
      <c r="P33" s="20"/>
      <c r="Q33" s="16"/>
      <c r="R33" s="17"/>
      <c r="S33" s="17"/>
      <c r="T33" s="18"/>
      <c r="U33" s="11" t="e">
        <f t="shared" si="3"/>
        <v>#DIV/0!</v>
      </c>
      <c r="V33" s="12">
        <f t="shared" si="4"/>
        <v>0</v>
      </c>
      <c r="W33" s="20"/>
      <c r="X33" s="16"/>
      <c r="Y33" s="17"/>
      <c r="Z33" s="17"/>
      <c r="AA33" s="18"/>
      <c r="AB33" s="11" t="e">
        <f t="shared" si="5"/>
        <v>#DIV/0!</v>
      </c>
      <c r="AC33" s="12">
        <f t="shared" si="6"/>
        <v>0</v>
      </c>
      <c r="AD33" s="20"/>
      <c r="AE33" s="16"/>
      <c r="AF33" s="17"/>
      <c r="AG33" s="17"/>
      <c r="AH33" s="18"/>
      <c r="AI33" s="11" t="e">
        <f t="shared" si="7"/>
        <v>#DIV/0!</v>
      </c>
      <c r="AJ33" s="12">
        <f t="shared" si="8"/>
        <v>0</v>
      </c>
      <c r="AK33" s="20"/>
      <c r="AL33" s="16"/>
      <c r="AM33" s="17"/>
      <c r="AN33" s="17"/>
      <c r="AO33" s="18"/>
      <c r="AP33" s="11" t="e">
        <f t="shared" si="9"/>
        <v>#DIV/0!</v>
      </c>
      <c r="AQ33" s="12">
        <f t="shared" si="10"/>
        <v>0</v>
      </c>
      <c r="AR33" s="20"/>
      <c r="AS33" s="16"/>
      <c r="AT33" s="17"/>
      <c r="AU33" s="17"/>
      <c r="AV33" s="18"/>
      <c r="AW33" s="11" t="e">
        <f t="shared" si="11"/>
        <v>#DIV/0!</v>
      </c>
      <c r="AX33" s="12">
        <f t="shared" si="12"/>
        <v>0</v>
      </c>
      <c r="AY33" s="20"/>
      <c r="AZ33" s="16"/>
      <c r="BA33" s="17"/>
      <c r="BB33" s="17"/>
      <c r="BC33" s="18"/>
      <c r="BD33" s="11" t="e">
        <f t="shared" si="13"/>
        <v>#DIV/0!</v>
      </c>
      <c r="BE33" s="12">
        <f t="shared" si="14"/>
        <v>0</v>
      </c>
      <c r="BF33" s="20"/>
      <c r="BG33" s="16"/>
      <c r="BH33" s="17"/>
      <c r="BI33" s="17"/>
      <c r="BJ33" s="18"/>
      <c r="BK33" s="11" t="e">
        <f t="shared" si="15"/>
        <v>#DIV/0!</v>
      </c>
      <c r="BL33" s="12">
        <f t="shared" si="16"/>
        <v>0</v>
      </c>
      <c r="BM33" s="20"/>
      <c r="BN33" s="16"/>
      <c r="BO33" s="17"/>
      <c r="BP33" s="17"/>
      <c r="BQ33" s="18"/>
      <c r="BR33" s="11" t="e">
        <f t="shared" si="17"/>
        <v>#DIV/0!</v>
      </c>
      <c r="BS33" s="12">
        <f t="shared" si="18"/>
        <v>0</v>
      </c>
      <c r="BT33" s="20"/>
      <c r="BU33" s="16"/>
      <c r="BV33" s="17"/>
      <c r="BW33" s="17"/>
      <c r="BX33" s="18"/>
      <c r="BY33" s="11" t="e">
        <f t="shared" si="19"/>
        <v>#DIV/0!</v>
      </c>
      <c r="BZ33" s="12">
        <f t="shared" si="20"/>
        <v>0</v>
      </c>
      <c r="CA33" s="20"/>
      <c r="CB33" s="16"/>
      <c r="CC33" s="17"/>
      <c r="CD33" s="17"/>
      <c r="CE33" s="18"/>
      <c r="CF33" s="11" t="e">
        <f t="shared" si="21"/>
        <v>#DIV/0!</v>
      </c>
      <c r="CG33" s="12">
        <f t="shared" si="22"/>
        <v>0</v>
      </c>
      <c r="CH33" s="20"/>
      <c r="CI33" s="16"/>
      <c r="CJ33" s="17"/>
      <c r="CK33" s="17"/>
      <c r="CL33" s="18"/>
      <c r="CM33" s="11" t="e">
        <f t="shared" si="23"/>
        <v>#DIV/0!</v>
      </c>
      <c r="CN33" s="12">
        <f t="shared" si="24"/>
        <v>0</v>
      </c>
      <c r="CO33" s="20"/>
      <c r="CP33" s="16"/>
      <c r="CQ33" s="17"/>
      <c r="CR33" s="17"/>
      <c r="CS33" s="18"/>
      <c r="CT33" s="11" t="e">
        <f t="shared" si="25"/>
        <v>#DIV/0!</v>
      </c>
      <c r="CU33" s="12">
        <f t="shared" si="26"/>
        <v>0</v>
      </c>
      <c r="CV33" s="20"/>
      <c r="CW33" s="16"/>
      <c r="CX33" s="17"/>
      <c r="CY33" s="17"/>
      <c r="CZ33" s="18"/>
      <c r="DA33" s="11" t="e">
        <f t="shared" si="27"/>
        <v>#DIV/0!</v>
      </c>
      <c r="DB33" s="12">
        <f t="shared" si="28"/>
        <v>0</v>
      </c>
      <c r="DC33" s="20"/>
      <c r="DD33" s="16"/>
      <c r="DE33" s="17"/>
      <c r="DF33" s="17"/>
      <c r="DG33" s="18"/>
      <c r="DH33" s="11" t="e">
        <f t="shared" si="29"/>
        <v>#DIV/0!</v>
      </c>
      <c r="DI33" s="12">
        <f t="shared" si="30"/>
        <v>0</v>
      </c>
      <c r="DJ33" s="20"/>
      <c r="DK33" s="16"/>
      <c r="DL33" s="17"/>
      <c r="DM33" s="17"/>
      <c r="DN33" s="18"/>
      <c r="DO33" s="11" t="e">
        <f t="shared" si="31"/>
        <v>#DIV/0!</v>
      </c>
      <c r="DP33" s="12">
        <f t="shared" si="32"/>
        <v>0</v>
      </c>
      <c r="DQ33" s="20"/>
      <c r="DR33" s="16"/>
      <c r="DS33" s="17"/>
      <c r="DT33" s="17"/>
      <c r="DU33" s="18"/>
      <c r="DV33" s="11" t="e">
        <f t="shared" si="33"/>
        <v>#DIV/0!</v>
      </c>
      <c r="DW33" s="12">
        <f t="shared" si="34"/>
        <v>0</v>
      </c>
      <c r="DX33" s="20"/>
      <c r="DY33" s="16"/>
      <c r="DZ33" s="17"/>
      <c r="EA33" s="17"/>
      <c r="EB33" s="18"/>
      <c r="EC33" s="11" t="e">
        <f t="shared" si="35"/>
        <v>#DIV/0!</v>
      </c>
      <c r="ED33" s="12">
        <f t="shared" si="36"/>
        <v>0</v>
      </c>
      <c r="EE33" s="20"/>
      <c r="EF33" s="16"/>
      <c r="EG33" s="17"/>
      <c r="EH33" s="17"/>
      <c r="EI33" s="18"/>
      <c r="EJ33" s="11" t="e">
        <f t="shared" si="37"/>
        <v>#DIV/0!</v>
      </c>
      <c r="EK33" s="12">
        <f t="shared" si="38"/>
        <v>0</v>
      </c>
      <c r="EL33" s="20"/>
      <c r="EM33" s="16"/>
      <c r="EN33" s="17"/>
      <c r="EO33" s="17"/>
      <c r="EP33" s="18"/>
      <c r="EQ33" s="11" t="e">
        <f t="shared" si="39"/>
        <v>#DIV/0!</v>
      </c>
      <c r="ER33" s="12">
        <f t="shared" si="40"/>
        <v>0</v>
      </c>
      <c r="ES33" s="20"/>
      <c r="ET33" s="16"/>
      <c r="EU33" s="17"/>
      <c r="EV33" s="17"/>
      <c r="EW33" s="18"/>
      <c r="EX33" s="11" t="e">
        <f t="shared" si="41"/>
        <v>#DIV/0!</v>
      </c>
      <c r="EY33" s="12">
        <f t="shared" si="42"/>
        <v>0</v>
      </c>
      <c r="EZ33" s="20"/>
      <c r="FA33" s="16"/>
      <c r="FB33" s="17"/>
      <c r="FC33" s="17"/>
      <c r="FD33" s="18"/>
      <c r="FE33" s="11" t="e">
        <f t="shared" si="43"/>
        <v>#DIV/0!</v>
      </c>
      <c r="FF33" s="12">
        <f t="shared" si="44"/>
        <v>0</v>
      </c>
      <c r="FG33" s="20"/>
      <c r="FH33" s="16"/>
      <c r="FI33" s="17"/>
      <c r="FJ33" s="17"/>
      <c r="FK33" s="18"/>
      <c r="FL33" s="11" t="e">
        <f t="shared" si="45"/>
        <v>#DIV/0!</v>
      </c>
      <c r="FM33" s="12">
        <f t="shared" si="46"/>
        <v>0</v>
      </c>
      <c r="FN33" s="20"/>
      <c r="FO33" s="16"/>
      <c r="FP33" s="17"/>
      <c r="FQ33" s="17"/>
      <c r="FR33" s="18"/>
      <c r="FS33" s="11" t="e">
        <f t="shared" si="47"/>
        <v>#DIV/0!</v>
      </c>
      <c r="FT33" s="12">
        <f t="shared" si="48"/>
        <v>0</v>
      </c>
      <c r="FU33" s="20"/>
      <c r="FV33" s="16"/>
      <c r="FW33" s="17"/>
      <c r="FX33" s="17"/>
      <c r="FY33" s="18"/>
      <c r="FZ33" s="11" t="e">
        <f t="shared" si="49"/>
        <v>#DIV/0!</v>
      </c>
      <c r="GA33" s="12">
        <f t="shared" si="50"/>
        <v>0</v>
      </c>
      <c r="GB33" s="20"/>
      <c r="GC33" s="16"/>
      <c r="GD33" s="17"/>
      <c r="GE33" s="17"/>
      <c r="GF33" s="18"/>
      <c r="GG33" s="11" t="e">
        <f t="shared" si="51"/>
        <v>#DIV/0!</v>
      </c>
      <c r="GH33" s="12">
        <f t="shared" si="52"/>
        <v>0</v>
      </c>
      <c r="GI33" s="20"/>
      <c r="GJ33" s="16"/>
      <c r="GK33" s="17"/>
      <c r="GL33" s="17"/>
      <c r="GM33" s="18"/>
      <c r="GN33" s="11" t="e">
        <f t="shared" si="53"/>
        <v>#DIV/0!</v>
      </c>
      <c r="GO33" s="12">
        <f t="shared" si="54"/>
        <v>0</v>
      </c>
      <c r="GP33" s="20"/>
      <c r="GQ33" s="16"/>
      <c r="GR33" s="17"/>
      <c r="GS33" s="17"/>
      <c r="GT33" s="18"/>
      <c r="GU33" s="11" t="e">
        <f t="shared" si="55"/>
        <v>#DIV/0!</v>
      </c>
      <c r="GV33" s="12">
        <f t="shared" si="56"/>
        <v>0</v>
      </c>
    </row>
    <row r="34" spans="1:204" s="28" customFormat="1" ht="14" thickBot="1" x14ac:dyDescent="0.2">
      <c r="A34" s="21">
        <v>31</v>
      </c>
      <c r="B34" s="22"/>
      <c r="C34" s="23"/>
      <c r="D34" s="24"/>
      <c r="E34" s="24"/>
      <c r="F34" s="25"/>
      <c r="G34" s="11" t="e">
        <f t="shared" si="57"/>
        <v>#DIV/0!</v>
      </c>
      <c r="H34" s="12">
        <f t="shared" si="0"/>
        <v>0</v>
      </c>
      <c r="I34" s="22"/>
      <c r="J34" s="23"/>
      <c r="K34" s="24"/>
      <c r="L34" s="24"/>
      <c r="M34" s="25"/>
      <c r="N34" s="26" t="e">
        <f t="shared" si="1"/>
        <v>#DIV/0!</v>
      </c>
      <c r="O34" s="27">
        <f t="shared" si="2"/>
        <v>0</v>
      </c>
      <c r="P34" s="22"/>
      <c r="Q34" s="23"/>
      <c r="R34" s="24"/>
      <c r="S34" s="24"/>
      <c r="T34" s="25"/>
      <c r="U34" s="26" t="e">
        <f t="shared" si="3"/>
        <v>#DIV/0!</v>
      </c>
      <c r="V34" s="27">
        <f t="shared" si="4"/>
        <v>0</v>
      </c>
      <c r="W34" s="22"/>
      <c r="X34" s="23"/>
      <c r="Y34" s="24"/>
      <c r="Z34" s="24"/>
      <c r="AA34" s="25"/>
      <c r="AB34" s="26" t="e">
        <f t="shared" si="5"/>
        <v>#DIV/0!</v>
      </c>
      <c r="AC34" s="27">
        <f t="shared" si="6"/>
        <v>0</v>
      </c>
      <c r="AD34" s="22"/>
      <c r="AE34" s="23"/>
      <c r="AF34" s="24"/>
      <c r="AG34" s="24"/>
      <c r="AH34" s="25"/>
      <c r="AI34" s="26" t="e">
        <f t="shared" si="7"/>
        <v>#DIV/0!</v>
      </c>
      <c r="AJ34" s="27">
        <f t="shared" si="8"/>
        <v>0</v>
      </c>
      <c r="AK34" s="22"/>
      <c r="AL34" s="23"/>
      <c r="AM34" s="24"/>
      <c r="AN34" s="24"/>
      <c r="AO34" s="25"/>
      <c r="AP34" s="26" t="e">
        <f t="shared" si="9"/>
        <v>#DIV/0!</v>
      </c>
      <c r="AQ34" s="27">
        <f t="shared" si="10"/>
        <v>0</v>
      </c>
      <c r="AR34" s="22"/>
      <c r="AS34" s="23"/>
      <c r="AT34" s="24"/>
      <c r="AU34" s="24"/>
      <c r="AV34" s="25"/>
      <c r="AW34" s="26" t="e">
        <f t="shared" si="11"/>
        <v>#DIV/0!</v>
      </c>
      <c r="AX34" s="27">
        <f t="shared" si="12"/>
        <v>0</v>
      </c>
      <c r="AY34" s="22"/>
      <c r="AZ34" s="23"/>
      <c r="BA34" s="24"/>
      <c r="BB34" s="24"/>
      <c r="BC34" s="25"/>
      <c r="BD34" s="26" t="e">
        <f t="shared" si="13"/>
        <v>#DIV/0!</v>
      </c>
      <c r="BE34" s="27">
        <f t="shared" si="14"/>
        <v>0</v>
      </c>
      <c r="BF34" s="22"/>
      <c r="BG34" s="23"/>
      <c r="BH34" s="24"/>
      <c r="BI34" s="24"/>
      <c r="BJ34" s="25"/>
      <c r="BK34" s="26" t="e">
        <f t="shared" si="15"/>
        <v>#DIV/0!</v>
      </c>
      <c r="BL34" s="27">
        <f t="shared" si="16"/>
        <v>0</v>
      </c>
      <c r="BM34" s="22"/>
      <c r="BN34" s="23"/>
      <c r="BO34" s="24"/>
      <c r="BP34" s="24"/>
      <c r="BQ34" s="25"/>
      <c r="BR34" s="26" t="e">
        <f t="shared" si="17"/>
        <v>#DIV/0!</v>
      </c>
      <c r="BS34" s="27">
        <f t="shared" si="18"/>
        <v>0</v>
      </c>
      <c r="BT34" s="22"/>
      <c r="BU34" s="23"/>
      <c r="BV34" s="24"/>
      <c r="BW34" s="24"/>
      <c r="BX34" s="25"/>
      <c r="BY34" s="26" t="e">
        <f t="shared" si="19"/>
        <v>#DIV/0!</v>
      </c>
      <c r="BZ34" s="27">
        <f t="shared" si="20"/>
        <v>0</v>
      </c>
      <c r="CA34" s="22"/>
      <c r="CB34" s="23"/>
      <c r="CC34" s="24"/>
      <c r="CD34" s="24"/>
      <c r="CE34" s="25"/>
      <c r="CF34" s="26" t="e">
        <f t="shared" si="21"/>
        <v>#DIV/0!</v>
      </c>
      <c r="CG34" s="27">
        <f t="shared" si="22"/>
        <v>0</v>
      </c>
      <c r="CH34" s="22"/>
      <c r="CI34" s="23"/>
      <c r="CJ34" s="24"/>
      <c r="CK34" s="24"/>
      <c r="CL34" s="25"/>
      <c r="CM34" s="26" t="e">
        <f t="shared" si="23"/>
        <v>#DIV/0!</v>
      </c>
      <c r="CN34" s="27">
        <f t="shared" si="24"/>
        <v>0</v>
      </c>
      <c r="CO34" s="22"/>
      <c r="CP34" s="23"/>
      <c r="CQ34" s="24"/>
      <c r="CR34" s="24"/>
      <c r="CS34" s="25"/>
      <c r="CT34" s="26" t="e">
        <f t="shared" si="25"/>
        <v>#DIV/0!</v>
      </c>
      <c r="CU34" s="27">
        <f t="shared" si="26"/>
        <v>0</v>
      </c>
      <c r="CV34" s="22"/>
      <c r="CW34" s="23"/>
      <c r="CX34" s="24"/>
      <c r="CY34" s="24"/>
      <c r="CZ34" s="25"/>
      <c r="DA34" s="26" t="e">
        <f t="shared" si="27"/>
        <v>#DIV/0!</v>
      </c>
      <c r="DB34" s="27">
        <f t="shared" si="28"/>
        <v>0</v>
      </c>
      <c r="DC34" s="22"/>
      <c r="DD34" s="23"/>
      <c r="DE34" s="24"/>
      <c r="DF34" s="24"/>
      <c r="DG34" s="25"/>
      <c r="DH34" s="26" t="e">
        <f t="shared" si="29"/>
        <v>#DIV/0!</v>
      </c>
      <c r="DI34" s="27">
        <f t="shared" si="30"/>
        <v>0</v>
      </c>
      <c r="DJ34" s="22"/>
      <c r="DK34" s="23"/>
      <c r="DL34" s="24"/>
      <c r="DM34" s="24"/>
      <c r="DN34" s="25"/>
      <c r="DO34" s="26" t="e">
        <f t="shared" si="31"/>
        <v>#DIV/0!</v>
      </c>
      <c r="DP34" s="27">
        <f t="shared" si="32"/>
        <v>0</v>
      </c>
      <c r="DQ34" s="22"/>
      <c r="DR34" s="23"/>
      <c r="DS34" s="24"/>
      <c r="DT34" s="24"/>
      <c r="DU34" s="25"/>
      <c r="DV34" s="26" t="e">
        <f t="shared" si="33"/>
        <v>#DIV/0!</v>
      </c>
      <c r="DW34" s="27">
        <f t="shared" si="34"/>
        <v>0</v>
      </c>
      <c r="DX34" s="22"/>
      <c r="DY34" s="23"/>
      <c r="DZ34" s="24"/>
      <c r="EA34" s="24"/>
      <c r="EB34" s="25"/>
      <c r="EC34" s="26" t="e">
        <f t="shared" si="35"/>
        <v>#DIV/0!</v>
      </c>
      <c r="ED34" s="27">
        <f t="shared" si="36"/>
        <v>0</v>
      </c>
      <c r="EE34" s="22"/>
      <c r="EF34" s="23"/>
      <c r="EG34" s="24"/>
      <c r="EH34" s="24"/>
      <c r="EI34" s="25"/>
      <c r="EJ34" s="26" t="e">
        <f t="shared" si="37"/>
        <v>#DIV/0!</v>
      </c>
      <c r="EK34" s="27">
        <f t="shared" si="38"/>
        <v>0</v>
      </c>
      <c r="EL34" s="22"/>
      <c r="EM34" s="23"/>
      <c r="EN34" s="24"/>
      <c r="EO34" s="24"/>
      <c r="EP34" s="25"/>
      <c r="EQ34" s="26" t="e">
        <f t="shared" si="39"/>
        <v>#DIV/0!</v>
      </c>
      <c r="ER34" s="27">
        <f t="shared" si="40"/>
        <v>0</v>
      </c>
      <c r="ES34" s="22"/>
      <c r="ET34" s="23"/>
      <c r="EU34" s="24"/>
      <c r="EV34" s="24"/>
      <c r="EW34" s="25"/>
      <c r="EX34" s="26" t="e">
        <f t="shared" si="41"/>
        <v>#DIV/0!</v>
      </c>
      <c r="EY34" s="27">
        <f t="shared" si="42"/>
        <v>0</v>
      </c>
      <c r="EZ34" s="22"/>
      <c r="FA34" s="23"/>
      <c r="FB34" s="24"/>
      <c r="FC34" s="24"/>
      <c r="FD34" s="25"/>
      <c r="FE34" s="26" t="e">
        <f t="shared" si="43"/>
        <v>#DIV/0!</v>
      </c>
      <c r="FF34" s="27">
        <f t="shared" si="44"/>
        <v>0</v>
      </c>
      <c r="FG34" s="22"/>
      <c r="FH34" s="23"/>
      <c r="FI34" s="24"/>
      <c r="FJ34" s="24"/>
      <c r="FK34" s="25"/>
      <c r="FL34" s="26" t="e">
        <f t="shared" si="45"/>
        <v>#DIV/0!</v>
      </c>
      <c r="FM34" s="27">
        <f t="shared" si="46"/>
        <v>0</v>
      </c>
      <c r="FN34" s="22"/>
      <c r="FO34" s="23"/>
      <c r="FP34" s="24"/>
      <c r="FQ34" s="24"/>
      <c r="FR34" s="25"/>
      <c r="FS34" s="26" t="e">
        <f t="shared" si="47"/>
        <v>#DIV/0!</v>
      </c>
      <c r="FT34" s="27">
        <f t="shared" si="48"/>
        <v>0</v>
      </c>
      <c r="FU34" s="22"/>
      <c r="FV34" s="23"/>
      <c r="FW34" s="24"/>
      <c r="FX34" s="24"/>
      <c r="FY34" s="25"/>
      <c r="FZ34" s="26" t="e">
        <f t="shared" si="49"/>
        <v>#DIV/0!</v>
      </c>
      <c r="GA34" s="27">
        <f t="shared" si="50"/>
        <v>0</v>
      </c>
      <c r="GB34" s="22"/>
      <c r="GC34" s="23"/>
      <c r="GD34" s="24"/>
      <c r="GE34" s="24"/>
      <c r="GF34" s="25"/>
      <c r="GG34" s="26" t="e">
        <f t="shared" si="51"/>
        <v>#DIV/0!</v>
      </c>
      <c r="GH34" s="27">
        <f t="shared" si="52"/>
        <v>0</v>
      </c>
      <c r="GI34" s="22"/>
      <c r="GJ34" s="23"/>
      <c r="GK34" s="24"/>
      <c r="GL34" s="24"/>
      <c r="GM34" s="25"/>
      <c r="GN34" s="26" t="e">
        <f t="shared" si="53"/>
        <v>#DIV/0!</v>
      </c>
      <c r="GO34" s="27">
        <f t="shared" si="54"/>
        <v>0</v>
      </c>
      <c r="GP34" s="22"/>
      <c r="GQ34" s="23"/>
      <c r="GR34" s="24"/>
      <c r="GS34" s="24"/>
      <c r="GT34" s="25"/>
      <c r="GU34" s="26" t="e">
        <f t="shared" si="55"/>
        <v>#DIV/0!</v>
      </c>
      <c r="GV34" s="27">
        <f t="shared" si="56"/>
        <v>0</v>
      </c>
    </row>
    <row r="35" spans="1:204" s="38" customFormat="1" ht="14" thickBot="1" x14ac:dyDescent="0.2">
      <c r="A35" s="29" t="s">
        <v>8</v>
      </c>
      <c r="B35" s="30">
        <f>SUM(B4:B34)</f>
        <v>1</v>
      </c>
      <c r="C35" s="31">
        <f>SUM(C4:C34)</f>
        <v>1</v>
      </c>
      <c r="D35" s="32">
        <f>SUM(D4:D34)</f>
        <v>1</v>
      </c>
      <c r="E35" s="33">
        <f>SUM(E4:E34)</f>
        <v>1</v>
      </c>
      <c r="F35" s="34">
        <f>SUM(F4:F34)</f>
        <v>0</v>
      </c>
      <c r="G35" s="35"/>
      <c r="H35" s="35"/>
      <c r="I35" s="30">
        <f>SUM(I4:I34)</f>
        <v>0</v>
      </c>
      <c r="J35" s="31">
        <f>SUM(J4:J34)</f>
        <v>0</v>
      </c>
      <c r="K35" s="32">
        <f>SUM(K4:K34)</f>
        <v>0</v>
      </c>
      <c r="L35" s="33">
        <f>SUM(L4:L34)</f>
        <v>0</v>
      </c>
      <c r="M35" s="34">
        <f>SUM(M4:M34)</f>
        <v>0</v>
      </c>
      <c r="N35" s="36" t="e">
        <f>+N34-G34</f>
        <v>#DIV/0!</v>
      </c>
      <c r="O35" s="37"/>
      <c r="P35" s="30">
        <f>SUM(P4:P34)</f>
        <v>0</v>
      </c>
      <c r="Q35" s="31">
        <f>SUM(Q4:Q34)</f>
        <v>0</v>
      </c>
      <c r="R35" s="32">
        <f>SUM(R4:R34)</f>
        <v>0</v>
      </c>
      <c r="S35" s="33">
        <f>SUM(S4:S34)</f>
        <v>0</v>
      </c>
      <c r="T35" s="34">
        <f>SUM(T4:T34)</f>
        <v>0</v>
      </c>
      <c r="U35" s="36" t="e">
        <f>+U34-N34</f>
        <v>#DIV/0!</v>
      </c>
      <c r="V35" s="37"/>
      <c r="W35" s="30">
        <f>SUM(W4:W34)</f>
        <v>0</v>
      </c>
      <c r="X35" s="31">
        <f>SUM(X4:X34)</f>
        <v>0</v>
      </c>
      <c r="Y35" s="32">
        <f>SUM(Y4:Y34)</f>
        <v>0</v>
      </c>
      <c r="Z35" s="33">
        <f>SUM(Z4:Z34)</f>
        <v>0</v>
      </c>
      <c r="AA35" s="34">
        <f>SUM(AA4:AA34)</f>
        <v>0</v>
      </c>
      <c r="AB35" s="36" t="e">
        <f>+AB34-U34</f>
        <v>#DIV/0!</v>
      </c>
      <c r="AC35" s="37"/>
      <c r="AD35" s="30">
        <f>SUM(AD4:AD34)</f>
        <v>0</v>
      </c>
      <c r="AE35" s="31">
        <f>SUM(AE4:AE34)</f>
        <v>0</v>
      </c>
      <c r="AF35" s="32">
        <f>SUM(AF4:AF34)</f>
        <v>0</v>
      </c>
      <c r="AG35" s="33">
        <f>SUM(AG4:AG34)</f>
        <v>0</v>
      </c>
      <c r="AH35" s="34">
        <f>SUM(AH4:AH34)</f>
        <v>0</v>
      </c>
      <c r="AI35" s="36" t="e">
        <f>+AI34-AB34</f>
        <v>#DIV/0!</v>
      </c>
      <c r="AJ35" s="37"/>
      <c r="AK35" s="30">
        <f>SUM(AK4:AK34)</f>
        <v>0</v>
      </c>
      <c r="AL35" s="31">
        <f>SUM(AL4:AL34)</f>
        <v>0</v>
      </c>
      <c r="AM35" s="32">
        <f>SUM(AM4:AM34)</f>
        <v>0</v>
      </c>
      <c r="AN35" s="33">
        <f>SUM(AN4:AN34)</f>
        <v>0</v>
      </c>
      <c r="AO35" s="34">
        <f>SUM(AO4:AO34)</f>
        <v>0</v>
      </c>
      <c r="AP35" s="36" t="e">
        <f>+AP34-AI34</f>
        <v>#DIV/0!</v>
      </c>
      <c r="AQ35" s="37"/>
      <c r="AR35" s="30">
        <f>SUM(AR4:AR34)</f>
        <v>0</v>
      </c>
      <c r="AS35" s="31">
        <f>SUM(AS4:AS34)</f>
        <v>0</v>
      </c>
      <c r="AT35" s="32">
        <f>SUM(AT4:AT34)</f>
        <v>0</v>
      </c>
      <c r="AU35" s="33">
        <f>SUM(AU4:AU34)</f>
        <v>0</v>
      </c>
      <c r="AV35" s="34">
        <f>SUM(AV4:AV34)</f>
        <v>0</v>
      </c>
      <c r="AW35" s="36" t="e">
        <f>+AW34-AP34</f>
        <v>#DIV/0!</v>
      </c>
      <c r="AX35" s="37"/>
      <c r="AY35" s="30">
        <f>SUM(AY4:AY34)</f>
        <v>0</v>
      </c>
      <c r="AZ35" s="31">
        <f>SUM(AZ4:AZ34)</f>
        <v>0</v>
      </c>
      <c r="BA35" s="32">
        <f>SUM(BA4:BA34)</f>
        <v>0</v>
      </c>
      <c r="BB35" s="33">
        <f>SUM(BB4:BB34)</f>
        <v>0</v>
      </c>
      <c r="BC35" s="34">
        <f>SUM(BC4:BC34)</f>
        <v>0</v>
      </c>
      <c r="BD35" s="36" t="e">
        <f>+BD34-AW34</f>
        <v>#DIV/0!</v>
      </c>
      <c r="BE35" s="37"/>
      <c r="BF35" s="30">
        <f>SUM(BF4:BF34)</f>
        <v>0</v>
      </c>
      <c r="BG35" s="31">
        <f>SUM(BG4:BG34)</f>
        <v>0</v>
      </c>
      <c r="BH35" s="32">
        <f>SUM(BH4:BH34)</f>
        <v>0</v>
      </c>
      <c r="BI35" s="33">
        <f>SUM(BI4:BI34)</f>
        <v>0</v>
      </c>
      <c r="BJ35" s="34">
        <f>SUM(BJ4:BJ34)</f>
        <v>0</v>
      </c>
      <c r="BK35" s="36" t="e">
        <f>+BK34-BD34</f>
        <v>#DIV/0!</v>
      </c>
      <c r="BL35" s="37"/>
      <c r="BM35" s="30">
        <f>SUM(BM4:BM34)</f>
        <v>0</v>
      </c>
      <c r="BN35" s="31">
        <f>SUM(BN4:BN34)</f>
        <v>0</v>
      </c>
      <c r="BO35" s="32">
        <f>SUM(BO4:BO34)</f>
        <v>0</v>
      </c>
      <c r="BP35" s="33">
        <f>SUM(BP4:BP34)</f>
        <v>0</v>
      </c>
      <c r="BQ35" s="34">
        <f>SUM(BQ4:BQ34)</f>
        <v>0</v>
      </c>
      <c r="BR35" s="36" t="e">
        <f>+BR34-BK34</f>
        <v>#DIV/0!</v>
      </c>
      <c r="BS35" s="37"/>
      <c r="BT35" s="30">
        <f>SUM(BT4:BT34)</f>
        <v>0</v>
      </c>
      <c r="BU35" s="31">
        <f>SUM(BU4:BU34)</f>
        <v>0</v>
      </c>
      <c r="BV35" s="32">
        <f>SUM(BV4:BV34)</f>
        <v>0</v>
      </c>
      <c r="BW35" s="33">
        <f>SUM(BW4:BW34)</f>
        <v>0</v>
      </c>
      <c r="BX35" s="34">
        <f>SUM(BX4:BX34)</f>
        <v>0</v>
      </c>
      <c r="BY35" s="36" t="e">
        <f>+BY34-BR34</f>
        <v>#DIV/0!</v>
      </c>
      <c r="BZ35" s="37"/>
      <c r="CA35" s="30">
        <f>SUM(CA4:CA34)</f>
        <v>0</v>
      </c>
      <c r="CB35" s="31">
        <f>SUM(CB4:CB34)</f>
        <v>0</v>
      </c>
      <c r="CC35" s="32">
        <f>SUM(CC4:CC34)</f>
        <v>0</v>
      </c>
      <c r="CD35" s="33">
        <f>SUM(CD4:CD34)</f>
        <v>0</v>
      </c>
      <c r="CE35" s="34">
        <f>SUM(CE4:CE34)</f>
        <v>0</v>
      </c>
      <c r="CF35" s="36" t="e">
        <f>+CF34-BY34</f>
        <v>#DIV/0!</v>
      </c>
      <c r="CG35" s="37"/>
      <c r="CH35" s="30">
        <f>SUM(CH4:CH34)</f>
        <v>0</v>
      </c>
      <c r="CI35" s="31">
        <f>SUM(CI4:CI34)</f>
        <v>0</v>
      </c>
      <c r="CJ35" s="32">
        <f>SUM(CJ4:CJ34)</f>
        <v>0</v>
      </c>
      <c r="CK35" s="33">
        <f>SUM(CK4:CK34)</f>
        <v>0</v>
      </c>
      <c r="CL35" s="34">
        <f>SUM(CL4:CL34)</f>
        <v>0</v>
      </c>
      <c r="CM35" s="36" t="e">
        <f>+CM34-CF34</f>
        <v>#DIV/0!</v>
      </c>
      <c r="CN35" s="37"/>
      <c r="CO35" s="30">
        <f>SUM(CO4:CO34)</f>
        <v>0</v>
      </c>
      <c r="CP35" s="31">
        <f>SUM(CP4:CP34)</f>
        <v>0</v>
      </c>
      <c r="CQ35" s="32">
        <f>SUM(CQ4:CQ34)</f>
        <v>0</v>
      </c>
      <c r="CR35" s="33">
        <f>SUM(CR4:CR34)</f>
        <v>0</v>
      </c>
      <c r="CS35" s="34">
        <f>SUM(CS4:CS34)</f>
        <v>0</v>
      </c>
      <c r="CT35" s="36" t="e">
        <f>+CT34-CM34</f>
        <v>#DIV/0!</v>
      </c>
      <c r="CU35" s="37"/>
      <c r="CV35" s="30">
        <f>SUM(CV4:CV34)</f>
        <v>0</v>
      </c>
      <c r="CW35" s="31">
        <f>SUM(CW4:CW34)</f>
        <v>0</v>
      </c>
      <c r="CX35" s="32">
        <f>SUM(CX4:CX34)</f>
        <v>0</v>
      </c>
      <c r="CY35" s="33">
        <f>SUM(CY4:CY34)</f>
        <v>0</v>
      </c>
      <c r="CZ35" s="34">
        <f>SUM(CZ4:CZ34)</f>
        <v>0</v>
      </c>
      <c r="DA35" s="36" t="e">
        <f>+DA34-CT34</f>
        <v>#DIV/0!</v>
      </c>
      <c r="DB35" s="37"/>
      <c r="DC35" s="30">
        <f>SUM(DC4:DC34)</f>
        <v>0</v>
      </c>
      <c r="DD35" s="31">
        <f>SUM(DD4:DD34)</f>
        <v>0</v>
      </c>
      <c r="DE35" s="32">
        <f>SUM(DE4:DE34)</f>
        <v>0</v>
      </c>
      <c r="DF35" s="33">
        <f>SUM(DF4:DF34)</f>
        <v>0</v>
      </c>
      <c r="DG35" s="34">
        <f>SUM(DG4:DG34)</f>
        <v>0</v>
      </c>
      <c r="DH35" s="36" t="e">
        <f>+DH34-DA34</f>
        <v>#DIV/0!</v>
      </c>
      <c r="DI35" s="37"/>
      <c r="DJ35" s="30">
        <f>SUM(DJ4:DJ34)</f>
        <v>0</v>
      </c>
      <c r="DK35" s="31">
        <f>SUM(DK4:DK34)</f>
        <v>0</v>
      </c>
      <c r="DL35" s="32">
        <f>SUM(DL4:DL34)</f>
        <v>0</v>
      </c>
      <c r="DM35" s="33">
        <f>SUM(DM4:DM34)</f>
        <v>0</v>
      </c>
      <c r="DN35" s="34">
        <f>SUM(DN4:DN34)</f>
        <v>0</v>
      </c>
      <c r="DO35" s="36" t="e">
        <f>+DO34-DH34</f>
        <v>#DIV/0!</v>
      </c>
      <c r="DP35" s="37"/>
      <c r="DQ35" s="30">
        <f>SUM(DQ4:DQ34)</f>
        <v>0</v>
      </c>
      <c r="DR35" s="31">
        <f>SUM(DR4:DR34)</f>
        <v>0</v>
      </c>
      <c r="DS35" s="32">
        <f>SUM(DS4:DS34)</f>
        <v>0</v>
      </c>
      <c r="DT35" s="33">
        <f>SUM(DT4:DT34)</f>
        <v>0</v>
      </c>
      <c r="DU35" s="34">
        <f>SUM(DU4:DU34)</f>
        <v>0</v>
      </c>
      <c r="DV35" s="36" t="e">
        <f>+DV34-DO34</f>
        <v>#DIV/0!</v>
      </c>
      <c r="DW35" s="37"/>
      <c r="DX35" s="30">
        <f>SUM(DX4:DX34)</f>
        <v>0</v>
      </c>
      <c r="DY35" s="31">
        <f>SUM(DY4:DY34)</f>
        <v>0</v>
      </c>
      <c r="DZ35" s="32">
        <f>SUM(DZ4:DZ34)</f>
        <v>0</v>
      </c>
      <c r="EA35" s="33">
        <f>SUM(EA4:EA34)</f>
        <v>0</v>
      </c>
      <c r="EB35" s="34">
        <f>SUM(EB4:EB34)</f>
        <v>0</v>
      </c>
      <c r="EC35" s="36" t="e">
        <f>+EC34-DV34</f>
        <v>#DIV/0!</v>
      </c>
      <c r="ED35" s="37"/>
      <c r="EE35" s="30">
        <f>SUM(EE4:EE34)</f>
        <v>0</v>
      </c>
      <c r="EF35" s="31">
        <f>SUM(EF4:EF34)</f>
        <v>0</v>
      </c>
      <c r="EG35" s="32">
        <f>SUM(EG4:EG34)</f>
        <v>0</v>
      </c>
      <c r="EH35" s="33">
        <f>SUM(EH4:EH34)</f>
        <v>0</v>
      </c>
      <c r="EI35" s="34">
        <f>SUM(EI4:EI34)</f>
        <v>0</v>
      </c>
      <c r="EJ35" s="36" t="e">
        <f>+EJ34-EC34</f>
        <v>#DIV/0!</v>
      </c>
      <c r="EK35" s="37"/>
      <c r="EL35" s="30">
        <f>SUM(EL4:EL34)</f>
        <v>0</v>
      </c>
      <c r="EM35" s="31">
        <f>SUM(EM4:EM34)</f>
        <v>0</v>
      </c>
      <c r="EN35" s="32">
        <f>SUM(EN4:EN34)</f>
        <v>0</v>
      </c>
      <c r="EO35" s="33">
        <f>SUM(EO4:EO34)</f>
        <v>0</v>
      </c>
      <c r="EP35" s="34">
        <f>SUM(EP4:EP34)</f>
        <v>0</v>
      </c>
      <c r="EQ35" s="36" t="e">
        <f>+EQ34-EJ34</f>
        <v>#DIV/0!</v>
      </c>
      <c r="ER35" s="37"/>
      <c r="ES35" s="30">
        <f>SUM(ES4:ES34)</f>
        <v>0</v>
      </c>
      <c r="ET35" s="31">
        <f>SUM(ET4:ET34)</f>
        <v>0</v>
      </c>
      <c r="EU35" s="32">
        <f>SUM(EU4:EU34)</f>
        <v>0</v>
      </c>
      <c r="EV35" s="33">
        <f>SUM(EV4:EV34)</f>
        <v>0</v>
      </c>
      <c r="EW35" s="34">
        <f>SUM(EW4:EW34)</f>
        <v>0</v>
      </c>
      <c r="EX35" s="36" t="e">
        <f>+EX34-EQ34</f>
        <v>#DIV/0!</v>
      </c>
      <c r="EY35" s="37"/>
      <c r="EZ35" s="30">
        <f>SUM(EZ4:EZ34)</f>
        <v>0</v>
      </c>
      <c r="FA35" s="31">
        <f>SUM(FA4:FA34)</f>
        <v>0</v>
      </c>
      <c r="FB35" s="32">
        <f>SUM(FB4:FB34)</f>
        <v>0</v>
      </c>
      <c r="FC35" s="33">
        <f>SUM(FC4:FC34)</f>
        <v>0</v>
      </c>
      <c r="FD35" s="34">
        <f>SUM(FD4:FD34)</f>
        <v>0</v>
      </c>
      <c r="FE35" s="36" t="e">
        <f>+FE34-EX34</f>
        <v>#DIV/0!</v>
      </c>
      <c r="FF35" s="37"/>
      <c r="FG35" s="30">
        <f>SUM(FG4:FG34)</f>
        <v>0</v>
      </c>
      <c r="FH35" s="31">
        <f>SUM(FH4:FH34)</f>
        <v>0</v>
      </c>
      <c r="FI35" s="32">
        <f>SUM(FI4:FI34)</f>
        <v>0</v>
      </c>
      <c r="FJ35" s="33">
        <f>SUM(FJ4:FJ34)</f>
        <v>0</v>
      </c>
      <c r="FK35" s="34">
        <f>SUM(FK4:FK34)</f>
        <v>0</v>
      </c>
      <c r="FL35" s="36" t="e">
        <f>+FL34-FE34</f>
        <v>#DIV/0!</v>
      </c>
      <c r="FM35" s="37"/>
      <c r="FN35" s="30">
        <f>SUM(FN4:FN34)</f>
        <v>0</v>
      </c>
      <c r="FO35" s="31">
        <f>SUM(FO4:FO34)</f>
        <v>0</v>
      </c>
      <c r="FP35" s="32">
        <f>SUM(FP4:FP34)</f>
        <v>0</v>
      </c>
      <c r="FQ35" s="33">
        <f>SUM(FQ4:FQ34)</f>
        <v>0</v>
      </c>
      <c r="FR35" s="34">
        <f>SUM(FR4:FR34)</f>
        <v>0</v>
      </c>
      <c r="FS35" s="36" t="e">
        <f>+FS34-FL34</f>
        <v>#DIV/0!</v>
      </c>
      <c r="FT35" s="37"/>
      <c r="FU35" s="30">
        <f>SUM(FU4:FU34)</f>
        <v>0</v>
      </c>
      <c r="FV35" s="31">
        <f>SUM(FV4:FV34)</f>
        <v>0</v>
      </c>
      <c r="FW35" s="32">
        <f>SUM(FW4:FW34)</f>
        <v>0</v>
      </c>
      <c r="FX35" s="33">
        <f>SUM(FX4:FX34)</f>
        <v>0</v>
      </c>
      <c r="FY35" s="34">
        <f>SUM(FY4:FY34)</f>
        <v>0</v>
      </c>
      <c r="FZ35" s="36" t="e">
        <f>+FZ34-FS34</f>
        <v>#DIV/0!</v>
      </c>
      <c r="GA35" s="37"/>
      <c r="GB35" s="30">
        <f>SUM(GB4:GB34)</f>
        <v>0</v>
      </c>
      <c r="GC35" s="31">
        <f>SUM(GC4:GC34)</f>
        <v>0</v>
      </c>
      <c r="GD35" s="32">
        <f>SUM(GD4:GD34)</f>
        <v>0</v>
      </c>
      <c r="GE35" s="33">
        <f>SUM(GE4:GE34)</f>
        <v>0</v>
      </c>
      <c r="GF35" s="34">
        <f>SUM(GF4:GF34)</f>
        <v>0</v>
      </c>
      <c r="GG35" s="36" t="e">
        <f>+GG34-FZ34</f>
        <v>#DIV/0!</v>
      </c>
      <c r="GH35" s="37"/>
      <c r="GI35" s="30">
        <f>SUM(GI4:GI34)</f>
        <v>0</v>
      </c>
      <c r="GJ35" s="31">
        <f>SUM(GJ4:GJ34)</f>
        <v>0</v>
      </c>
      <c r="GK35" s="32">
        <f>SUM(GK4:GK34)</f>
        <v>0</v>
      </c>
      <c r="GL35" s="33">
        <f>SUM(GL4:GL34)</f>
        <v>0</v>
      </c>
      <c r="GM35" s="34">
        <f>SUM(GM4:GM34)</f>
        <v>0</v>
      </c>
      <c r="GN35" s="36" t="e">
        <f>+GN34-GG34</f>
        <v>#DIV/0!</v>
      </c>
      <c r="GO35" s="37"/>
      <c r="GP35" s="30">
        <f>SUM(GP4:GP34)</f>
        <v>0</v>
      </c>
      <c r="GQ35" s="31">
        <f>SUM(GQ4:GQ34)</f>
        <v>0</v>
      </c>
      <c r="GR35" s="32">
        <f>SUM(GR4:GR34)</f>
        <v>0</v>
      </c>
      <c r="GS35" s="33">
        <f>SUM(GS4:GS34)</f>
        <v>0</v>
      </c>
      <c r="GT35" s="34">
        <f>SUM(GT4:GT34)</f>
        <v>0</v>
      </c>
      <c r="GU35" s="36" t="e">
        <f>+GU34-GN34</f>
        <v>#DIV/0!</v>
      </c>
      <c r="GV35" s="37"/>
    </row>
    <row r="36" spans="1:204" s="38" customFormat="1" ht="14" thickBot="1" x14ac:dyDescent="0.2">
      <c r="A36" s="29" t="s">
        <v>8</v>
      </c>
      <c r="B36" s="69">
        <f>+SUM(B35:C35)</f>
        <v>2</v>
      </c>
      <c r="C36" s="70"/>
      <c r="D36" s="71">
        <f>+SUM(D35:E35)</f>
        <v>2</v>
      </c>
      <c r="E36" s="72"/>
      <c r="F36" s="39">
        <f>+F35</f>
        <v>0</v>
      </c>
      <c r="G36" s="73"/>
      <c r="H36" s="74"/>
      <c r="I36" s="69">
        <f>+SUM(I35:J35)</f>
        <v>0</v>
      </c>
      <c r="J36" s="70"/>
      <c r="K36" s="71">
        <f>+SUM(K35:L35)</f>
        <v>0</v>
      </c>
      <c r="L36" s="72"/>
      <c r="M36" s="39">
        <f>+M35</f>
        <v>0</v>
      </c>
      <c r="N36" s="37"/>
      <c r="O36" s="37"/>
      <c r="P36" s="69">
        <f>+SUM(P35:Q35)</f>
        <v>0</v>
      </c>
      <c r="Q36" s="70"/>
      <c r="R36" s="71">
        <f>+SUM(R35:S35)</f>
        <v>0</v>
      </c>
      <c r="S36" s="72"/>
      <c r="T36" s="39">
        <f>+T35</f>
        <v>0</v>
      </c>
      <c r="U36" s="37"/>
      <c r="V36" s="37"/>
      <c r="W36" s="69">
        <f>+SUM(W35:X35)</f>
        <v>0</v>
      </c>
      <c r="X36" s="70"/>
      <c r="Y36" s="71">
        <f>+SUM(Y35:Z35)</f>
        <v>0</v>
      </c>
      <c r="Z36" s="72"/>
      <c r="AA36" s="39">
        <f>+AA35</f>
        <v>0</v>
      </c>
      <c r="AB36" s="37"/>
      <c r="AC36" s="37"/>
      <c r="AD36" s="69">
        <f>+SUM(AD35:AE35)</f>
        <v>0</v>
      </c>
      <c r="AE36" s="70"/>
      <c r="AF36" s="71">
        <f>+SUM(AF35:AG35)</f>
        <v>0</v>
      </c>
      <c r="AG36" s="72"/>
      <c r="AH36" s="39">
        <f>+AH35</f>
        <v>0</v>
      </c>
      <c r="AI36" s="37"/>
      <c r="AJ36" s="37"/>
      <c r="AK36" s="69">
        <f>+SUM(AK35:AL35)</f>
        <v>0</v>
      </c>
      <c r="AL36" s="70"/>
      <c r="AM36" s="71">
        <f>+SUM(AM35:AN35)</f>
        <v>0</v>
      </c>
      <c r="AN36" s="72"/>
      <c r="AO36" s="39">
        <f>+AO35</f>
        <v>0</v>
      </c>
      <c r="AP36" s="37"/>
      <c r="AQ36" s="37"/>
      <c r="AR36" s="69">
        <f>+SUM(AR35:AS35)</f>
        <v>0</v>
      </c>
      <c r="AS36" s="70"/>
      <c r="AT36" s="71">
        <f>+SUM(AT35:AU35)</f>
        <v>0</v>
      </c>
      <c r="AU36" s="72"/>
      <c r="AV36" s="39">
        <f>+AV35</f>
        <v>0</v>
      </c>
      <c r="AW36" s="37"/>
      <c r="AX36" s="37"/>
      <c r="AY36" s="69">
        <f>+SUM(AY35:AZ35)</f>
        <v>0</v>
      </c>
      <c r="AZ36" s="70"/>
      <c r="BA36" s="71">
        <f>+SUM(BA35:BB35)</f>
        <v>0</v>
      </c>
      <c r="BB36" s="72"/>
      <c r="BC36" s="39">
        <f>+BC35</f>
        <v>0</v>
      </c>
      <c r="BD36" s="37"/>
      <c r="BE36" s="37"/>
      <c r="BF36" s="69">
        <f>+SUM(BF35:BG35)</f>
        <v>0</v>
      </c>
      <c r="BG36" s="70"/>
      <c r="BH36" s="71">
        <f>+SUM(BH35:BI35)</f>
        <v>0</v>
      </c>
      <c r="BI36" s="72"/>
      <c r="BJ36" s="39">
        <f>+BJ35</f>
        <v>0</v>
      </c>
      <c r="BK36" s="37"/>
      <c r="BL36" s="37"/>
      <c r="BM36" s="69">
        <f>+SUM(BM35:BN35)</f>
        <v>0</v>
      </c>
      <c r="BN36" s="70"/>
      <c r="BO36" s="71">
        <f>+SUM(BO35:BP35)</f>
        <v>0</v>
      </c>
      <c r="BP36" s="72"/>
      <c r="BQ36" s="39">
        <f>+BQ35</f>
        <v>0</v>
      </c>
      <c r="BR36" s="37"/>
      <c r="BS36" s="37"/>
      <c r="BT36" s="69">
        <f>+SUM(BT35:BU35)</f>
        <v>0</v>
      </c>
      <c r="BU36" s="70"/>
      <c r="BV36" s="71">
        <f>+SUM(BV35:BW35)</f>
        <v>0</v>
      </c>
      <c r="BW36" s="72"/>
      <c r="BX36" s="39">
        <f>+BX35</f>
        <v>0</v>
      </c>
      <c r="BY36" s="37"/>
      <c r="BZ36" s="37"/>
      <c r="CA36" s="69">
        <f>+SUM(CA35:CB35)</f>
        <v>0</v>
      </c>
      <c r="CB36" s="70"/>
      <c r="CC36" s="71">
        <f>+SUM(CC35:CD35)</f>
        <v>0</v>
      </c>
      <c r="CD36" s="72"/>
      <c r="CE36" s="39">
        <f>+CE35</f>
        <v>0</v>
      </c>
      <c r="CF36" s="37"/>
      <c r="CG36" s="37"/>
      <c r="CH36" s="69">
        <f>+SUM(CH35:CI35)</f>
        <v>0</v>
      </c>
      <c r="CI36" s="70"/>
      <c r="CJ36" s="71">
        <f>+SUM(CJ35:CK35)</f>
        <v>0</v>
      </c>
      <c r="CK36" s="72"/>
      <c r="CL36" s="39">
        <f>+CL35</f>
        <v>0</v>
      </c>
      <c r="CM36" s="37"/>
      <c r="CN36" s="37"/>
      <c r="CO36" s="69">
        <f>+SUM(CO35:CP35)</f>
        <v>0</v>
      </c>
      <c r="CP36" s="70"/>
      <c r="CQ36" s="71">
        <f>+SUM(CQ35:CR35)</f>
        <v>0</v>
      </c>
      <c r="CR36" s="72"/>
      <c r="CS36" s="39">
        <f>+CS35</f>
        <v>0</v>
      </c>
      <c r="CT36" s="37"/>
      <c r="CU36" s="37"/>
      <c r="CV36" s="69">
        <f>+SUM(CV35:CW35)</f>
        <v>0</v>
      </c>
      <c r="CW36" s="70"/>
      <c r="CX36" s="71">
        <f>+SUM(CX35:CY35)</f>
        <v>0</v>
      </c>
      <c r="CY36" s="72"/>
      <c r="CZ36" s="39">
        <f>+CZ35</f>
        <v>0</v>
      </c>
      <c r="DA36" s="37"/>
      <c r="DB36" s="37"/>
      <c r="DC36" s="69">
        <f>+SUM(DC35:DD35)</f>
        <v>0</v>
      </c>
      <c r="DD36" s="70"/>
      <c r="DE36" s="71">
        <f>+SUM(DE35:DF35)</f>
        <v>0</v>
      </c>
      <c r="DF36" s="72"/>
      <c r="DG36" s="39">
        <f>+DG35</f>
        <v>0</v>
      </c>
      <c r="DH36" s="37"/>
      <c r="DI36" s="37"/>
      <c r="DJ36" s="69">
        <f>+SUM(DJ35:DK35)</f>
        <v>0</v>
      </c>
      <c r="DK36" s="70"/>
      <c r="DL36" s="71">
        <f>+SUM(DL35:DM35)</f>
        <v>0</v>
      </c>
      <c r="DM36" s="72"/>
      <c r="DN36" s="39">
        <f>+DN35</f>
        <v>0</v>
      </c>
      <c r="DO36" s="37"/>
      <c r="DP36" s="37"/>
      <c r="DQ36" s="69">
        <f>+SUM(DQ35:DR35)</f>
        <v>0</v>
      </c>
      <c r="DR36" s="70"/>
      <c r="DS36" s="71">
        <f>+SUM(DS35:DT35)</f>
        <v>0</v>
      </c>
      <c r="DT36" s="72"/>
      <c r="DU36" s="39">
        <f>+DU35</f>
        <v>0</v>
      </c>
      <c r="DV36" s="37"/>
      <c r="DW36" s="37"/>
      <c r="DX36" s="69">
        <f>+SUM(DX35:DY35)</f>
        <v>0</v>
      </c>
      <c r="DY36" s="70"/>
      <c r="DZ36" s="71">
        <f>+SUM(DZ35:EA35)</f>
        <v>0</v>
      </c>
      <c r="EA36" s="72"/>
      <c r="EB36" s="39">
        <f>+EB35</f>
        <v>0</v>
      </c>
      <c r="EC36" s="37"/>
      <c r="ED36" s="37"/>
      <c r="EE36" s="69">
        <f>+SUM(EE35:EF35)</f>
        <v>0</v>
      </c>
      <c r="EF36" s="70"/>
      <c r="EG36" s="71">
        <f>+SUM(EG35:EH35)</f>
        <v>0</v>
      </c>
      <c r="EH36" s="72"/>
      <c r="EI36" s="39">
        <f>+EI35</f>
        <v>0</v>
      </c>
      <c r="EJ36" s="37"/>
      <c r="EK36" s="37"/>
      <c r="EL36" s="69">
        <f>+SUM(EL35:EM35)</f>
        <v>0</v>
      </c>
      <c r="EM36" s="70"/>
      <c r="EN36" s="71">
        <f>+SUM(EN35:EO35)</f>
        <v>0</v>
      </c>
      <c r="EO36" s="72"/>
      <c r="EP36" s="39">
        <f>+EP35</f>
        <v>0</v>
      </c>
      <c r="EQ36" s="37"/>
      <c r="ER36" s="37"/>
      <c r="ES36" s="69">
        <f>+SUM(ES35:ET35)</f>
        <v>0</v>
      </c>
      <c r="ET36" s="70"/>
      <c r="EU36" s="71">
        <f>+SUM(EU35:EV35)</f>
        <v>0</v>
      </c>
      <c r="EV36" s="72"/>
      <c r="EW36" s="39">
        <f>+EW35</f>
        <v>0</v>
      </c>
      <c r="EX36" s="37"/>
      <c r="EY36" s="37"/>
      <c r="EZ36" s="69">
        <f>+SUM(EZ35:FA35)</f>
        <v>0</v>
      </c>
      <c r="FA36" s="70"/>
      <c r="FB36" s="71">
        <f>+SUM(FB35:FC35)</f>
        <v>0</v>
      </c>
      <c r="FC36" s="72"/>
      <c r="FD36" s="39">
        <f>+FD35</f>
        <v>0</v>
      </c>
      <c r="FE36" s="37"/>
      <c r="FF36" s="37"/>
      <c r="FG36" s="69">
        <f>+SUM(FG35:FH35)</f>
        <v>0</v>
      </c>
      <c r="FH36" s="70"/>
      <c r="FI36" s="71">
        <f>+SUM(FI35:FJ35)</f>
        <v>0</v>
      </c>
      <c r="FJ36" s="72"/>
      <c r="FK36" s="39">
        <f>+FK35</f>
        <v>0</v>
      </c>
      <c r="FL36" s="37"/>
      <c r="FM36" s="37"/>
      <c r="FN36" s="69">
        <f>+SUM(FN35:FO35)</f>
        <v>0</v>
      </c>
      <c r="FO36" s="70"/>
      <c r="FP36" s="71">
        <f>+SUM(FP35:FQ35)</f>
        <v>0</v>
      </c>
      <c r="FQ36" s="72"/>
      <c r="FR36" s="39">
        <f>+FR35</f>
        <v>0</v>
      </c>
      <c r="FS36" s="37"/>
      <c r="FT36" s="37"/>
      <c r="FU36" s="69">
        <f>+SUM(FU35:FV35)</f>
        <v>0</v>
      </c>
      <c r="FV36" s="70"/>
      <c r="FW36" s="71">
        <f>+SUM(FW35:FX35)</f>
        <v>0</v>
      </c>
      <c r="FX36" s="72"/>
      <c r="FY36" s="39">
        <f>+FY35</f>
        <v>0</v>
      </c>
      <c r="FZ36" s="37"/>
      <c r="GA36" s="37"/>
      <c r="GB36" s="69">
        <f>+SUM(GB35:GC35)</f>
        <v>0</v>
      </c>
      <c r="GC36" s="70"/>
      <c r="GD36" s="71">
        <f>+SUM(GD35:GE35)</f>
        <v>0</v>
      </c>
      <c r="GE36" s="72"/>
      <c r="GF36" s="39">
        <f>+GF35</f>
        <v>0</v>
      </c>
      <c r="GG36" s="37"/>
      <c r="GH36" s="37"/>
      <c r="GI36" s="69">
        <f>+SUM(GI35:GJ35)</f>
        <v>0</v>
      </c>
      <c r="GJ36" s="70"/>
      <c r="GK36" s="71">
        <f>+SUM(GK35:GL35)</f>
        <v>0</v>
      </c>
      <c r="GL36" s="72"/>
      <c r="GM36" s="39">
        <f>+GM35</f>
        <v>0</v>
      </c>
      <c r="GN36" s="37"/>
      <c r="GO36" s="37"/>
      <c r="GP36" s="69">
        <f>+SUM(GP35:GQ35)</f>
        <v>0</v>
      </c>
      <c r="GQ36" s="70"/>
      <c r="GR36" s="71">
        <f>+SUM(GR35:GS35)</f>
        <v>0</v>
      </c>
      <c r="GS36" s="72"/>
      <c r="GT36" s="39">
        <f>+GT35</f>
        <v>0</v>
      </c>
      <c r="GU36" s="37"/>
      <c r="GV36" s="37"/>
    </row>
    <row r="38" spans="1:204" ht="14" thickBot="1" x14ac:dyDescent="0.2"/>
    <row r="39" spans="1:204" s="43" customFormat="1" ht="15" thickBot="1" x14ac:dyDescent="0.2">
      <c r="A39" s="42"/>
      <c r="C39" s="75" t="s">
        <v>9</v>
      </c>
      <c r="D39" s="76"/>
      <c r="E39" s="76"/>
      <c r="F39" s="77"/>
      <c r="G39" s="44" t="s">
        <v>10</v>
      </c>
      <c r="H39" s="78"/>
      <c r="I39" s="79"/>
      <c r="J39" s="79"/>
      <c r="K39" s="79"/>
      <c r="L39" s="79"/>
      <c r="M39" s="79"/>
      <c r="N39" s="80"/>
    </row>
    <row r="40" spans="1:204" x14ac:dyDescent="0.15">
      <c r="B40" s="41"/>
      <c r="C40" s="41"/>
      <c r="D40" s="41"/>
      <c r="E40" s="41"/>
      <c r="F40" s="41"/>
      <c r="G40" s="41"/>
    </row>
    <row r="41" spans="1:204" x14ac:dyDescent="0.15">
      <c r="B41" s="213" t="s">
        <v>57</v>
      </c>
      <c r="C41" s="94" t="s">
        <v>11</v>
      </c>
      <c r="D41" s="95"/>
      <c r="E41" s="96" t="s">
        <v>12</v>
      </c>
      <c r="F41" s="96"/>
      <c r="G41" s="96"/>
      <c r="H41" s="96"/>
      <c r="I41" s="96" t="s">
        <v>13</v>
      </c>
      <c r="J41" s="96"/>
      <c r="K41" s="96"/>
      <c r="L41" s="96" t="s">
        <v>14</v>
      </c>
      <c r="M41" s="96"/>
      <c r="N41" s="96"/>
      <c r="P41" s="97" t="s">
        <v>15</v>
      </c>
      <c r="Q41" s="97"/>
      <c r="R41" s="97"/>
      <c r="S41" s="97"/>
      <c r="T41" s="81" t="s">
        <v>16</v>
      </c>
      <c r="U41" s="82"/>
      <c r="V41" s="83"/>
      <c r="W41" s="81" t="s">
        <v>17</v>
      </c>
      <c r="X41" s="82"/>
      <c r="Y41" s="83"/>
    </row>
    <row r="42" spans="1:204" x14ac:dyDescent="0.15">
      <c r="B42" s="214">
        <v>1</v>
      </c>
      <c r="C42" s="84" t="s">
        <v>1</v>
      </c>
      <c r="D42" s="85"/>
      <c r="E42" s="86">
        <f>(B36+I36+P36+W36+AD36+AK36+AR36+BF36+BM36+BT36+CA36+CH36+CO36+CV36+DC36+DJ36+DQ36+DX36+EE36+EL36+ES36+EZ36+FG36+FN36+FU36+GB36+GI36+GP36+AY36)*30</f>
        <v>60</v>
      </c>
      <c r="F42" s="86"/>
      <c r="G42" s="86"/>
      <c r="H42" s="86"/>
      <c r="I42" s="86"/>
      <c r="J42" s="86"/>
      <c r="K42" s="86"/>
      <c r="L42" s="86">
        <f>+E42+I42</f>
        <v>60</v>
      </c>
      <c r="M42" s="86"/>
      <c r="N42" s="86"/>
      <c r="P42" s="87" t="e">
        <f>GU34</f>
        <v>#DIV/0!</v>
      </c>
      <c r="Q42" s="87"/>
      <c r="R42" s="87"/>
      <c r="S42" s="87"/>
      <c r="T42" s="88">
        <f>+GV34</f>
        <v>0</v>
      </c>
      <c r="U42" s="89"/>
      <c r="V42" s="90"/>
      <c r="W42" s="91" t="e">
        <f>+P42*T42</f>
        <v>#DIV/0!</v>
      </c>
      <c r="X42" s="92"/>
      <c r="Y42" s="93"/>
    </row>
    <row r="43" spans="1:204" x14ac:dyDescent="0.15">
      <c r="B43" s="215">
        <v>2</v>
      </c>
      <c r="C43" s="109" t="s">
        <v>2</v>
      </c>
      <c r="D43" s="110"/>
      <c r="E43" s="111">
        <f>D36+K36+R36+Y36+AF36+AM36+AT36+BA36+BH36+BO36+BV36+CC36+CJ36+CQ36+CX36+DE36+DL36+DS36+DZ36+EG36+EN36+EU36+FB36+FI36+FP36+FW36+GD36+GK36+GR36</f>
        <v>2</v>
      </c>
      <c r="F43" s="111"/>
      <c r="G43" s="111"/>
      <c r="H43" s="111"/>
      <c r="I43" s="111"/>
      <c r="J43" s="111"/>
      <c r="K43" s="111"/>
      <c r="L43" s="111">
        <f>+E43+I43</f>
        <v>2</v>
      </c>
      <c r="M43" s="111"/>
      <c r="N43" s="111"/>
    </row>
    <row r="44" spans="1:204" x14ac:dyDescent="0.15">
      <c r="B44" s="216"/>
      <c r="C44" s="112" t="s">
        <v>3</v>
      </c>
      <c r="D44" s="113"/>
      <c r="E44" s="114">
        <f>F36+M36+T36+AA36+AH36+AO36+AV36+BC36+BJ36+BQ36+BX36+CE36+CL36+CS36+CZ36+DG36+DN36+DU36+EB36+EI36+EP36+EW36+FD36+FK36+FR36+FY36+GF36+GM36+GT36</f>
        <v>0</v>
      </c>
      <c r="F44" s="114"/>
      <c r="G44" s="114"/>
      <c r="H44" s="114"/>
      <c r="I44" s="114"/>
      <c r="J44" s="114"/>
      <c r="K44" s="114"/>
      <c r="L44" s="114">
        <f>+E44+I44</f>
        <v>0</v>
      </c>
      <c r="M44" s="114"/>
      <c r="N44" s="114"/>
    </row>
    <row r="45" spans="1:204" x14ac:dyDescent="0.15">
      <c r="C45" s="41"/>
      <c r="D45" s="41"/>
      <c r="E45" s="41"/>
      <c r="F45" s="41"/>
      <c r="G45" s="41"/>
    </row>
    <row r="46" spans="1:204" x14ac:dyDescent="0.15">
      <c r="C46" s="98" t="s">
        <v>18</v>
      </c>
      <c r="D46" s="98"/>
      <c r="E46" s="98"/>
      <c r="F46" s="99" t="s">
        <v>19</v>
      </c>
      <c r="G46" s="100"/>
      <c r="H46" s="101"/>
      <c r="I46" s="98" t="s">
        <v>20</v>
      </c>
      <c r="J46" s="98"/>
      <c r="K46" s="98"/>
      <c r="L46" s="98" t="s">
        <v>21</v>
      </c>
      <c r="M46" s="98"/>
      <c r="N46" s="98"/>
      <c r="O46" s="99" t="s">
        <v>22</v>
      </c>
      <c r="P46" s="100"/>
      <c r="Q46" s="101"/>
      <c r="U46" s="45" t="s">
        <v>23</v>
      </c>
    </row>
    <row r="47" spans="1:204" x14ac:dyDescent="0.15">
      <c r="C47" s="102"/>
      <c r="D47" s="102"/>
      <c r="E47" s="102"/>
      <c r="F47" s="103"/>
      <c r="G47" s="104"/>
      <c r="H47" s="105"/>
      <c r="I47" s="106" t="str">
        <f ca="1">DATEDIF(C47,TODAY(),"y")&amp;" ปี "&amp;DATEDIF(C47,TODAY(),"ym")&amp;" เดือน "&amp;DATEDIF(C47,TODAY(),"md")&amp;" วัน"</f>
        <v>126 ปี 3 เดือน 8 วัน</v>
      </c>
      <c r="J47" s="107"/>
      <c r="K47" s="108"/>
      <c r="L47" s="106" t="str">
        <f>DATEDIF(C47,F47,"y")&amp;" ปี "&amp;DATEDIF(C47,F47,"ym")&amp;" เดือน "&amp;DATEDIF(C47,F47,"md")&amp;" วัน"</f>
        <v>0 ปี 0 เดือน 0 วัน</v>
      </c>
      <c r="M47" s="107"/>
      <c r="N47" s="108"/>
      <c r="O47" s="106"/>
      <c r="P47" s="107"/>
      <c r="Q47" s="108"/>
      <c r="U47" s="45" t="s">
        <v>24</v>
      </c>
    </row>
    <row r="48" spans="1:204" x14ac:dyDescent="0.15">
      <c r="C48" s="41"/>
      <c r="D48" s="41"/>
      <c r="E48" s="41"/>
      <c r="F48" s="41"/>
      <c r="G48" s="41"/>
      <c r="U48" s="45" t="s">
        <v>25</v>
      </c>
    </row>
    <row r="49" spans="1:22" x14ac:dyDescent="0.15">
      <c r="A49" s="41"/>
      <c r="B49" s="41"/>
      <c r="C49" s="98" t="s">
        <v>26</v>
      </c>
      <c r="D49" s="98"/>
      <c r="E49" s="98"/>
      <c r="F49" s="98"/>
      <c r="G49" s="41"/>
    </row>
    <row r="50" spans="1:22" x14ac:dyDescent="0.15">
      <c r="A50" s="41"/>
      <c r="B50" s="41"/>
      <c r="C50" s="115" t="s">
        <v>1</v>
      </c>
      <c r="D50" s="116"/>
      <c r="E50" s="117">
        <v>6.5</v>
      </c>
      <c r="F50" s="118"/>
    </row>
    <row r="51" spans="1:22" x14ac:dyDescent="0.15">
      <c r="A51" s="41"/>
      <c r="B51" s="41"/>
      <c r="C51" s="115" t="s">
        <v>2</v>
      </c>
      <c r="D51" s="116"/>
      <c r="E51" s="117">
        <v>2</v>
      </c>
      <c r="F51" s="118"/>
    </row>
    <row r="54" spans="1:22" ht="18" customHeight="1" x14ac:dyDescent="0.15">
      <c r="A54" s="41"/>
      <c r="B54" s="41"/>
      <c r="C54" s="119" t="s">
        <v>27</v>
      </c>
      <c r="D54" s="120"/>
      <c r="E54" s="120"/>
      <c r="F54" s="120"/>
      <c r="G54" s="120"/>
      <c r="H54" s="120"/>
      <c r="I54" s="120"/>
      <c r="J54" s="121"/>
      <c r="K54" s="134">
        <f>H39</f>
        <v>0</v>
      </c>
      <c r="L54" s="135"/>
      <c r="M54" s="135"/>
      <c r="N54" s="135"/>
      <c r="O54" s="135"/>
      <c r="P54" s="135"/>
      <c r="Q54" s="136"/>
    </row>
    <row r="55" spans="1:22" x14ac:dyDescent="0.15">
      <c r="A55" s="41"/>
      <c r="B55" s="41"/>
      <c r="C55" s="98" t="s">
        <v>28</v>
      </c>
      <c r="D55" s="98"/>
      <c r="E55" s="98"/>
      <c r="F55" s="98" t="s">
        <v>29</v>
      </c>
      <c r="G55" s="98"/>
      <c r="H55" s="98"/>
      <c r="I55" s="98" t="s">
        <v>30</v>
      </c>
      <c r="J55" s="98"/>
      <c r="K55" s="98"/>
      <c r="L55" s="98" t="s">
        <v>31</v>
      </c>
      <c r="M55" s="98"/>
      <c r="N55" s="98"/>
      <c r="O55" s="98" t="s">
        <v>5</v>
      </c>
      <c r="P55" s="98"/>
      <c r="Q55" s="98"/>
    </row>
    <row r="56" spans="1:22" x14ac:dyDescent="0.15">
      <c r="A56" s="41"/>
      <c r="B56" s="41"/>
      <c r="C56" s="122"/>
      <c r="D56" s="123"/>
      <c r="E56" s="123"/>
      <c r="F56" s="123"/>
      <c r="G56" s="123"/>
      <c r="H56" s="123"/>
      <c r="I56" s="123"/>
      <c r="J56" s="123"/>
      <c r="K56" s="123"/>
      <c r="L56" s="123"/>
      <c r="M56" s="123"/>
      <c r="N56" s="123"/>
      <c r="O56" s="123"/>
      <c r="P56" s="123"/>
      <c r="Q56" s="124"/>
    </row>
    <row r="57" spans="1:22" x14ac:dyDescent="0.15">
      <c r="A57" s="41"/>
      <c r="B57" s="41"/>
      <c r="C57" s="117"/>
      <c r="D57" s="125"/>
      <c r="E57" s="118"/>
      <c r="F57" s="126"/>
      <c r="G57" s="127"/>
      <c r="H57" s="128"/>
      <c r="I57" s="129"/>
      <c r="J57" s="130"/>
      <c r="K57" s="131"/>
      <c r="L57" s="132">
        <f t="shared" ref="L57:L64" si="58">+F57*I57</f>
        <v>0</v>
      </c>
      <c r="M57" s="132"/>
      <c r="N57" s="132"/>
      <c r="O57" s="133"/>
      <c r="P57" s="133"/>
      <c r="Q57" s="133"/>
      <c r="R57" s="137" t="s">
        <v>32</v>
      </c>
      <c r="S57" s="137"/>
      <c r="T57" s="137"/>
      <c r="U57" s="138" t="e">
        <f>+F65/O65</f>
        <v>#DIV/0!</v>
      </c>
      <c r="V57" s="138"/>
    </row>
    <row r="58" spans="1:22" x14ac:dyDescent="0.15">
      <c r="A58" s="41"/>
      <c r="B58" s="41"/>
      <c r="C58" s="117"/>
      <c r="D58" s="125"/>
      <c r="E58" s="118"/>
      <c r="F58" s="126"/>
      <c r="G58" s="127"/>
      <c r="H58" s="128"/>
      <c r="I58" s="129"/>
      <c r="J58" s="130"/>
      <c r="K58" s="131"/>
      <c r="L58" s="132">
        <f t="shared" si="58"/>
        <v>0</v>
      </c>
      <c r="M58" s="132"/>
      <c r="N58" s="132"/>
      <c r="O58" s="133"/>
      <c r="P58" s="133"/>
      <c r="Q58" s="133"/>
      <c r="R58" s="137" t="s">
        <v>33</v>
      </c>
      <c r="S58" s="137"/>
      <c r="T58" s="137"/>
      <c r="U58" s="138" t="e">
        <f>+DH12</f>
        <v>#DIV/0!</v>
      </c>
      <c r="V58" s="138"/>
    </row>
    <row r="59" spans="1:22" x14ac:dyDescent="0.15">
      <c r="A59" s="41"/>
      <c r="B59" s="41"/>
      <c r="C59" s="117"/>
      <c r="D59" s="125"/>
      <c r="E59" s="118"/>
      <c r="F59" s="126"/>
      <c r="G59" s="127"/>
      <c r="H59" s="128"/>
      <c r="I59" s="129"/>
      <c r="J59" s="130"/>
      <c r="K59" s="131"/>
      <c r="L59" s="132">
        <f t="shared" si="58"/>
        <v>0</v>
      </c>
      <c r="M59" s="132"/>
      <c r="N59" s="132"/>
      <c r="O59" s="133"/>
      <c r="P59" s="133"/>
      <c r="Q59" s="133"/>
      <c r="R59" s="137" t="s">
        <v>34</v>
      </c>
      <c r="S59" s="137"/>
      <c r="T59" s="137"/>
      <c r="U59" s="139" t="e">
        <f>+U57-U58</f>
        <v>#DIV/0!</v>
      </c>
      <c r="V59" s="140"/>
    </row>
    <row r="60" spans="1:22" x14ac:dyDescent="0.15">
      <c r="A60" s="41"/>
      <c r="B60" s="41"/>
      <c r="C60" s="117"/>
      <c r="D60" s="125"/>
      <c r="E60" s="118"/>
      <c r="F60" s="126"/>
      <c r="G60" s="127"/>
      <c r="H60" s="128"/>
      <c r="I60" s="129"/>
      <c r="J60" s="130"/>
      <c r="K60" s="131"/>
      <c r="L60" s="132">
        <f t="shared" si="58"/>
        <v>0</v>
      </c>
      <c r="M60" s="132"/>
      <c r="N60" s="132"/>
      <c r="O60" s="133"/>
      <c r="P60" s="133"/>
      <c r="Q60" s="133"/>
    </row>
    <row r="61" spans="1:22" x14ac:dyDescent="0.15">
      <c r="A61" s="41"/>
      <c r="B61" s="41"/>
      <c r="C61" s="117"/>
      <c r="D61" s="125"/>
      <c r="E61" s="118"/>
      <c r="F61" s="126"/>
      <c r="G61" s="127"/>
      <c r="H61" s="128"/>
      <c r="I61" s="129"/>
      <c r="J61" s="130"/>
      <c r="K61" s="131"/>
      <c r="L61" s="126">
        <f t="shared" si="58"/>
        <v>0</v>
      </c>
      <c r="M61" s="127"/>
      <c r="N61" s="128"/>
      <c r="O61" s="117"/>
      <c r="P61" s="125"/>
      <c r="Q61" s="118"/>
    </row>
    <row r="62" spans="1:22" x14ac:dyDescent="0.15">
      <c r="A62" s="41"/>
      <c r="B62" s="41"/>
      <c r="C62" s="117"/>
      <c r="D62" s="125"/>
      <c r="E62" s="118"/>
      <c r="F62" s="126"/>
      <c r="G62" s="127"/>
      <c r="H62" s="128"/>
      <c r="I62" s="129"/>
      <c r="J62" s="130"/>
      <c r="K62" s="131"/>
      <c r="L62" s="126">
        <f t="shared" si="58"/>
        <v>0</v>
      </c>
      <c r="M62" s="127"/>
      <c r="N62" s="128"/>
      <c r="O62" s="117"/>
      <c r="P62" s="125"/>
      <c r="Q62" s="118"/>
    </row>
    <row r="63" spans="1:22" x14ac:dyDescent="0.15">
      <c r="A63" s="41"/>
      <c r="B63" s="41"/>
      <c r="C63" s="117"/>
      <c r="D63" s="125"/>
      <c r="E63" s="118"/>
      <c r="F63" s="126"/>
      <c r="G63" s="127"/>
      <c r="H63" s="128"/>
      <c r="I63" s="129"/>
      <c r="J63" s="130"/>
      <c r="K63" s="131"/>
      <c r="L63" s="132">
        <f t="shared" si="58"/>
        <v>0</v>
      </c>
      <c r="M63" s="132"/>
      <c r="N63" s="132"/>
      <c r="O63" s="133"/>
      <c r="P63" s="133"/>
      <c r="Q63" s="133"/>
    </row>
    <row r="64" spans="1:22" x14ac:dyDescent="0.15">
      <c r="A64" s="41"/>
      <c r="B64" s="41"/>
      <c r="C64" s="117"/>
      <c r="D64" s="125"/>
      <c r="E64" s="118"/>
      <c r="F64" s="126"/>
      <c r="G64" s="127"/>
      <c r="H64" s="128"/>
      <c r="I64" s="129"/>
      <c r="J64" s="130"/>
      <c r="K64" s="131"/>
      <c r="L64" s="132">
        <f t="shared" si="58"/>
        <v>0</v>
      </c>
      <c r="M64" s="132"/>
      <c r="N64" s="132"/>
      <c r="O64" s="133"/>
      <c r="P64" s="133"/>
      <c r="Q64" s="133"/>
    </row>
    <row r="65" spans="1:22" x14ac:dyDescent="0.15">
      <c r="A65" s="41"/>
      <c r="B65" s="41"/>
      <c r="C65" s="141" t="s">
        <v>8</v>
      </c>
      <c r="D65" s="141"/>
      <c r="E65" s="141"/>
      <c r="F65" s="142">
        <f>+SUM(F57:H64)</f>
        <v>0</v>
      </c>
      <c r="G65" s="142"/>
      <c r="H65" s="142"/>
      <c r="I65" s="143" t="e">
        <f>+L65/F65</f>
        <v>#DIV/0!</v>
      </c>
      <c r="J65" s="144"/>
      <c r="K65" s="145"/>
      <c r="L65" s="142">
        <f>SUM(L56:N64)</f>
        <v>0</v>
      </c>
      <c r="M65" s="142"/>
      <c r="N65" s="142"/>
      <c r="O65" s="98"/>
      <c r="P65" s="98"/>
      <c r="Q65" s="98"/>
    </row>
    <row r="66" spans="1:22" x14ac:dyDescent="0.15">
      <c r="A66" s="41"/>
      <c r="B66" s="41"/>
      <c r="C66" s="122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4"/>
    </row>
    <row r="67" spans="1:22" x14ac:dyDescent="0.15">
      <c r="A67" s="41"/>
      <c r="B67" s="41"/>
      <c r="C67" s="117"/>
      <c r="D67" s="125"/>
      <c r="E67" s="118"/>
      <c r="F67" s="126"/>
      <c r="G67" s="127"/>
      <c r="H67" s="128"/>
      <c r="I67" s="129"/>
      <c r="J67" s="130"/>
      <c r="K67" s="131"/>
      <c r="L67" s="132">
        <f t="shared" ref="L67:L72" si="59">+F67*I67</f>
        <v>0</v>
      </c>
      <c r="M67" s="132"/>
      <c r="N67" s="132"/>
      <c r="O67" s="133"/>
      <c r="P67" s="133"/>
      <c r="Q67" s="133"/>
      <c r="R67" s="137" t="s">
        <v>32</v>
      </c>
      <c r="S67" s="137"/>
      <c r="T67" s="137"/>
      <c r="U67" s="138" t="e">
        <f>+F73/O73</f>
        <v>#DIV/0!</v>
      </c>
      <c r="V67" s="138"/>
    </row>
    <row r="68" spans="1:22" x14ac:dyDescent="0.15">
      <c r="C68" s="117"/>
      <c r="D68" s="125"/>
      <c r="E68" s="118"/>
      <c r="F68" s="126"/>
      <c r="G68" s="127"/>
      <c r="H68" s="128"/>
      <c r="I68" s="129"/>
      <c r="J68" s="130"/>
      <c r="K68" s="131"/>
      <c r="L68" s="132">
        <f t="shared" si="59"/>
        <v>0</v>
      </c>
      <c r="M68" s="132"/>
      <c r="N68" s="132"/>
      <c r="O68" s="133"/>
      <c r="P68" s="133"/>
      <c r="Q68" s="133"/>
      <c r="R68" s="137" t="s">
        <v>33</v>
      </c>
      <c r="S68" s="137"/>
      <c r="T68" s="137"/>
      <c r="U68" s="138" t="e">
        <f>+EC8</f>
        <v>#DIV/0!</v>
      </c>
      <c r="V68" s="138"/>
    </row>
    <row r="69" spans="1:22" x14ac:dyDescent="0.15">
      <c r="C69" s="117"/>
      <c r="D69" s="125"/>
      <c r="E69" s="118"/>
      <c r="F69" s="126"/>
      <c r="G69" s="127"/>
      <c r="H69" s="128"/>
      <c r="I69" s="129"/>
      <c r="J69" s="130"/>
      <c r="K69" s="131"/>
      <c r="L69" s="132">
        <f t="shared" si="59"/>
        <v>0</v>
      </c>
      <c r="M69" s="132"/>
      <c r="N69" s="132"/>
      <c r="O69" s="133"/>
      <c r="P69" s="133"/>
      <c r="Q69" s="133"/>
      <c r="R69" s="137" t="s">
        <v>34</v>
      </c>
      <c r="S69" s="137"/>
      <c r="T69" s="137"/>
      <c r="U69" s="139" t="e">
        <f>+U67-U68</f>
        <v>#DIV/0!</v>
      </c>
      <c r="V69" s="140"/>
    </row>
    <row r="70" spans="1:22" x14ac:dyDescent="0.15">
      <c r="A70" s="41"/>
      <c r="B70" s="41"/>
      <c r="C70" s="117"/>
      <c r="D70" s="125"/>
      <c r="E70" s="118"/>
      <c r="F70" s="126"/>
      <c r="G70" s="127"/>
      <c r="H70" s="128"/>
      <c r="I70" s="129"/>
      <c r="J70" s="130"/>
      <c r="K70" s="131"/>
      <c r="L70" s="132">
        <f t="shared" si="59"/>
        <v>0</v>
      </c>
      <c r="M70" s="132"/>
      <c r="N70" s="132"/>
      <c r="O70" s="133"/>
      <c r="P70" s="133"/>
      <c r="Q70" s="133"/>
    </row>
    <row r="71" spans="1:22" ht="13.5" customHeight="1" x14ac:dyDescent="0.15">
      <c r="A71" s="41"/>
      <c r="B71" s="41"/>
      <c r="C71" s="117"/>
      <c r="D71" s="125"/>
      <c r="E71" s="118"/>
      <c r="F71" s="126"/>
      <c r="G71" s="127"/>
      <c r="H71" s="128"/>
      <c r="I71" s="129"/>
      <c r="J71" s="130"/>
      <c r="K71" s="131"/>
      <c r="L71" s="132">
        <f t="shared" si="59"/>
        <v>0</v>
      </c>
      <c r="M71" s="132"/>
      <c r="N71" s="132"/>
      <c r="O71" s="133"/>
      <c r="P71" s="133"/>
      <c r="Q71" s="133"/>
    </row>
    <row r="72" spans="1:22" ht="13.5" customHeight="1" x14ac:dyDescent="0.15">
      <c r="A72" s="41"/>
      <c r="B72" s="41"/>
      <c r="C72" s="117"/>
      <c r="D72" s="125"/>
      <c r="E72" s="118"/>
      <c r="F72" s="126"/>
      <c r="G72" s="127"/>
      <c r="H72" s="128"/>
      <c r="I72" s="129"/>
      <c r="J72" s="130"/>
      <c r="K72" s="131"/>
      <c r="L72" s="132">
        <f t="shared" si="59"/>
        <v>0</v>
      </c>
      <c r="M72" s="132"/>
      <c r="N72" s="132"/>
      <c r="O72" s="133"/>
      <c r="P72" s="133"/>
      <c r="Q72" s="133"/>
    </row>
    <row r="73" spans="1:22" ht="14.25" customHeight="1" x14ac:dyDescent="0.15">
      <c r="A73" s="41"/>
      <c r="B73" s="41"/>
      <c r="C73" s="141" t="s">
        <v>8</v>
      </c>
      <c r="D73" s="141"/>
      <c r="E73" s="141"/>
      <c r="F73" s="142">
        <f>+SUM(F67:H72)</f>
        <v>0</v>
      </c>
      <c r="G73" s="142"/>
      <c r="H73" s="142"/>
      <c r="I73" s="143" t="e">
        <f>+L73/F73</f>
        <v>#DIV/0!</v>
      </c>
      <c r="J73" s="144"/>
      <c r="K73" s="145"/>
      <c r="L73" s="142">
        <f>SUM(L66:N72)</f>
        <v>0</v>
      </c>
      <c r="M73" s="142"/>
      <c r="N73" s="142"/>
      <c r="O73" s="98"/>
      <c r="P73" s="98"/>
      <c r="Q73" s="98"/>
    </row>
    <row r="74" spans="1:22" x14ac:dyDescent="0.15">
      <c r="C74" s="122"/>
      <c r="D74" s="123"/>
      <c r="E74" s="123"/>
      <c r="F74" s="123"/>
      <c r="G74" s="123"/>
      <c r="H74" s="123"/>
      <c r="I74" s="123"/>
      <c r="J74" s="123"/>
      <c r="K74" s="123"/>
      <c r="L74" s="123"/>
      <c r="M74" s="123"/>
      <c r="N74" s="123"/>
      <c r="O74" s="123"/>
      <c r="P74" s="123"/>
      <c r="Q74" s="124"/>
    </row>
    <row r="75" spans="1:22" x14ac:dyDescent="0.15">
      <c r="C75" s="117"/>
      <c r="D75" s="125"/>
      <c r="E75" s="118"/>
      <c r="F75" s="126"/>
      <c r="G75" s="127"/>
      <c r="H75" s="128"/>
      <c r="I75" s="129"/>
      <c r="J75" s="130"/>
      <c r="K75" s="131"/>
      <c r="L75" s="132">
        <f t="shared" ref="L75:L80" si="60">+F75*I75</f>
        <v>0</v>
      </c>
      <c r="M75" s="132"/>
      <c r="N75" s="132"/>
      <c r="O75" s="133"/>
      <c r="P75" s="133"/>
      <c r="Q75" s="133"/>
      <c r="R75" s="137" t="s">
        <v>32</v>
      </c>
      <c r="S75" s="137"/>
      <c r="T75" s="137"/>
      <c r="U75" s="138" t="e">
        <f>+F81/O81</f>
        <v>#DIV/0!</v>
      </c>
      <c r="V75" s="138"/>
    </row>
    <row r="76" spans="1:22" x14ac:dyDescent="0.15">
      <c r="C76" s="117"/>
      <c r="D76" s="125"/>
      <c r="E76" s="118"/>
      <c r="F76" s="126"/>
      <c r="G76" s="127"/>
      <c r="H76" s="128"/>
      <c r="I76" s="129"/>
      <c r="J76" s="130"/>
      <c r="K76" s="131"/>
      <c r="L76" s="132">
        <f t="shared" si="60"/>
        <v>0</v>
      </c>
      <c r="M76" s="132"/>
      <c r="N76" s="132"/>
      <c r="O76" s="133"/>
      <c r="P76" s="133"/>
      <c r="Q76" s="133"/>
      <c r="R76" s="137" t="s">
        <v>33</v>
      </c>
      <c r="S76" s="137"/>
      <c r="T76" s="137"/>
      <c r="U76" s="138" t="e">
        <f>+DV29</f>
        <v>#DIV/0!</v>
      </c>
      <c r="V76" s="138"/>
    </row>
    <row r="77" spans="1:22" x14ac:dyDescent="0.15">
      <c r="C77" s="117"/>
      <c r="D77" s="125"/>
      <c r="E77" s="118"/>
      <c r="F77" s="126"/>
      <c r="G77" s="127"/>
      <c r="H77" s="128"/>
      <c r="I77" s="129"/>
      <c r="J77" s="130"/>
      <c r="K77" s="131"/>
      <c r="L77" s="132">
        <f t="shared" si="60"/>
        <v>0</v>
      </c>
      <c r="M77" s="132"/>
      <c r="N77" s="132"/>
      <c r="O77" s="133"/>
      <c r="P77" s="133"/>
      <c r="Q77" s="133"/>
      <c r="R77" s="137" t="s">
        <v>34</v>
      </c>
      <c r="S77" s="137"/>
      <c r="T77" s="137"/>
      <c r="U77" s="139" t="e">
        <f>+U75-U76</f>
        <v>#DIV/0!</v>
      </c>
      <c r="V77" s="140"/>
    </row>
    <row r="78" spans="1:22" x14ac:dyDescent="0.15">
      <c r="C78" s="117"/>
      <c r="D78" s="125"/>
      <c r="E78" s="118"/>
      <c r="F78" s="126"/>
      <c r="G78" s="127"/>
      <c r="H78" s="128"/>
      <c r="I78" s="129"/>
      <c r="J78" s="130"/>
      <c r="K78" s="131"/>
      <c r="L78" s="132">
        <f t="shared" si="60"/>
        <v>0</v>
      </c>
      <c r="M78" s="132"/>
      <c r="N78" s="132"/>
      <c r="O78" s="133"/>
      <c r="P78" s="133"/>
      <c r="Q78" s="133"/>
    </row>
    <row r="79" spans="1:22" x14ac:dyDescent="0.15">
      <c r="C79" s="117"/>
      <c r="D79" s="125"/>
      <c r="E79" s="118"/>
      <c r="F79" s="126"/>
      <c r="G79" s="127"/>
      <c r="H79" s="128"/>
      <c r="I79" s="129"/>
      <c r="J79" s="130"/>
      <c r="K79" s="131"/>
      <c r="L79" s="132">
        <f t="shared" si="60"/>
        <v>0</v>
      </c>
      <c r="M79" s="132"/>
      <c r="N79" s="132"/>
      <c r="O79" s="133"/>
      <c r="P79" s="133"/>
      <c r="Q79" s="133"/>
    </row>
    <row r="80" spans="1:22" x14ac:dyDescent="0.15">
      <c r="C80" s="117"/>
      <c r="D80" s="125"/>
      <c r="E80" s="118"/>
      <c r="F80" s="126"/>
      <c r="G80" s="127"/>
      <c r="H80" s="128"/>
      <c r="I80" s="129"/>
      <c r="J80" s="130"/>
      <c r="K80" s="131"/>
      <c r="L80" s="132">
        <f t="shared" si="60"/>
        <v>0</v>
      </c>
      <c r="M80" s="132"/>
      <c r="N80" s="132"/>
      <c r="O80" s="133"/>
      <c r="P80" s="133"/>
      <c r="Q80" s="133"/>
    </row>
    <row r="81" spans="1:22" x14ac:dyDescent="0.15">
      <c r="A81" s="41"/>
      <c r="B81" s="41"/>
      <c r="C81" s="141" t="s">
        <v>8</v>
      </c>
      <c r="D81" s="141"/>
      <c r="E81" s="141"/>
      <c r="F81" s="142">
        <f>+SUM(F75:H80)</f>
        <v>0</v>
      </c>
      <c r="G81" s="142"/>
      <c r="H81" s="142"/>
      <c r="I81" s="143" t="e">
        <f>+L81/F81</f>
        <v>#DIV/0!</v>
      </c>
      <c r="J81" s="144"/>
      <c r="K81" s="145"/>
      <c r="L81" s="142">
        <f>SUM(L74:N80)</f>
        <v>0</v>
      </c>
      <c r="M81" s="142"/>
      <c r="N81" s="142"/>
      <c r="O81" s="98"/>
      <c r="P81" s="98"/>
      <c r="Q81" s="98"/>
    </row>
    <row r="82" spans="1:22" x14ac:dyDescent="0.15">
      <c r="A82" s="41"/>
      <c r="B82" s="41"/>
      <c r="C82" s="146" t="s">
        <v>35</v>
      </c>
      <c r="D82" s="146"/>
      <c r="E82" s="146"/>
      <c r="F82" s="147">
        <f>+F65+F73+F81</f>
        <v>0</v>
      </c>
      <c r="G82" s="148"/>
      <c r="H82" s="148"/>
      <c r="I82" s="149" t="e">
        <f>+L82/F82</f>
        <v>#DIV/0!</v>
      </c>
      <c r="J82" s="149"/>
      <c r="K82" s="149"/>
      <c r="L82" s="147">
        <f>+L65+L73+L81</f>
        <v>0</v>
      </c>
      <c r="M82" s="148"/>
      <c r="N82" s="148"/>
      <c r="O82" s="147">
        <f>+O65+O73+O81</f>
        <v>0</v>
      </c>
      <c r="P82" s="148"/>
      <c r="Q82" s="148"/>
    </row>
    <row r="83" spans="1:22" x14ac:dyDescent="0.15">
      <c r="A83" s="41"/>
      <c r="B83" s="41"/>
      <c r="O83" s="156"/>
      <c r="P83" s="157"/>
      <c r="Q83" s="157"/>
    </row>
    <row r="84" spans="1:22" x14ac:dyDescent="0.15">
      <c r="A84" s="41"/>
      <c r="B84" s="41"/>
      <c r="C84" s="158" t="s">
        <v>36</v>
      </c>
      <c r="D84" s="158"/>
      <c r="E84" s="158"/>
      <c r="F84" s="159" t="e">
        <f>+L82/F82</f>
        <v>#DIV/0!</v>
      </c>
      <c r="G84" s="159"/>
      <c r="H84" s="159"/>
      <c r="I84" s="37"/>
      <c r="J84" s="37"/>
      <c r="L84" s="160" t="s">
        <v>37</v>
      </c>
      <c r="M84" s="160"/>
      <c r="N84" s="160"/>
      <c r="O84" s="160" t="s">
        <v>38</v>
      </c>
      <c r="P84" s="160"/>
      <c r="Q84" s="160"/>
      <c r="R84" s="46"/>
      <c r="S84" s="46"/>
    </row>
    <row r="85" spans="1:22" ht="14" x14ac:dyDescent="0.2">
      <c r="A85" s="41"/>
      <c r="B85" s="41"/>
      <c r="C85" s="158" t="s">
        <v>39</v>
      </c>
      <c r="D85" s="158"/>
      <c r="E85" s="158"/>
      <c r="F85" s="159" t="e">
        <f>F99/F82</f>
        <v>#DIV/0!</v>
      </c>
      <c r="G85" s="159"/>
      <c r="H85" s="159"/>
      <c r="L85" s="161">
        <f>+H35-O82</f>
        <v>0</v>
      </c>
      <c r="M85" s="162"/>
      <c r="N85" s="163"/>
      <c r="O85" s="164" t="e">
        <f>+L85/H35</f>
        <v>#DIV/0!</v>
      </c>
      <c r="P85" s="164"/>
      <c r="Q85" s="164"/>
      <c r="R85" s="47"/>
      <c r="S85" s="48"/>
      <c r="T85" s="49"/>
      <c r="U85" s="49"/>
      <c r="V85" s="49"/>
    </row>
    <row r="86" spans="1:22" ht="14" x14ac:dyDescent="0.2">
      <c r="A86" s="41"/>
      <c r="B86" s="41"/>
      <c r="P86" s="50"/>
      <c r="Q86" s="50"/>
      <c r="R86" s="50"/>
      <c r="S86" s="48"/>
      <c r="T86" s="49"/>
      <c r="U86" s="49"/>
      <c r="V86" s="49"/>
    </row>
    <row r="87" spans="1:22" ht="14" x14ac:dyDescent="0.2">
      <c r="A87" s="41"/>
      <c r="B87" s="41"/>
      <c r="C87" s="150" t="s">
        <v>40</v>
      </c>
      <c r="D87" s="150"/>
      <c r="E87" s="150"/>
      <c r="F87" s="151">
        <f>+(F47-C47)/31</f>
        <v>0</v>
      </c>
      <c r="G87" s="151"/>
      <c r="H87" s="151"/>
      <c r="P87" s="47"/>
      <c r="Q87" s="47"/>
      <c r="R87" s="47"/>
      <c r="S87" s="48"/>
      <c r="T87" s="48"/>
      <c r="U87" s="48"/>
      <c r="V87" s="48"/>
    </row>
    <row r="88" spans="1:22" ht="14" x14ac:dyDescent="0.2">
      <c r="A88" s="41"/>
      <c r="B88" s="41"/>
      <c r="C88" s="112" t="s">
        <v>41</v>
      </c>
      <c r="D88" s="152"/>
      <c r="E88" s="152"/>
      <c r="F88" s="152"/>
      <c r="G88" s="152"/>
      <c r="H88" s="113"/>
      <c r="I88" s="149" t="s">
        <v>42</v>
      </c>
      <c r="J88" s="149"/>
      <c r="K88" s="149"/>
      <c r="P88" s="50"/>
      <c r="Q88" s="50"/>
      <c r="R88" s="50"/>
      <c r="S88" s="48"/>
      <c r="T88" s="49"/>
      <c r="U88" s="49"/>
      <c r="V88" s="49"/>
    </row>
    <row r="89" spans="1:22" ht="14" x14ac:dyDescent="0.2">
      <c r="A89" s="41"/>
      <c r="B89" s="41"/>
      <c r="C89" s="153" t="s">
        <v>43</v>
      </c>
      <c r="D89" s="153"/>
      <c r="E89" s="153"/>
      <c r="F89" s="154">
        <f>L42*14</f>
        <v>840</v>
      </c>
      <c r="G89" s="154"/>
      <c r="H89" s="154"/>
      <c r="I89" s="155">
        <f>+F89/$F$99</f>
        <v>7.6782449725776969E-2</v>
      </c>
      <c r="J89" s="155"/>
      <c r="K89" s="155"/>
      <c r="P89" s="47"/>
      <c r="Q89" s="47"/>
      <c r="R89" s="47"/>
      <c r="S89" s="48"/>
      <c r="T89" s="49"/>
      <c r="U89" s="49"/>
      <c r="V89" s="49"/>
    </row>
    <row r="90" spans="1:22" ht="14" x14ac:dyDescent="0.2">
      <c r="A90" s="41"/>
      <c r="B90" s="41"/>
      <c r="C90" s="153" t="s">
        <v>44</v>
      </c>
      <c r="D90" s="153"/>
      <c r="E90" s="153"/>
      <c r="F90" s="154">
        <f>L43*50</f>
        <v>100</v>
      </c>
      <c r="G90" s="154"/>
      <c r="H90" s="154"/>
      <c r="I90" s="177">
        <f>+F90/$F$99</f>
        <v>9.140767824497258E-3</v>
      </c>
      <c r="J90" s="178"/>
      <c r="K90" s="179"/>
      <c r="P90" s="47"/>
      <c r="Q90" s="47"/>
      <c r="R90" s="47"/>
      <c r="S90" s="48"/>
      <c r="T90" s="49"/>
      <c r="U90" s="49"/>
      <c r="V90" s="49"/>
    </row>
    <row r="91" spans="1:22" ht="14" x14ac:dyDescent="0.2">
      <c r="A91" s="41"/>
      <c r="B91" s="41"/>
      <c r="C91" s="180" t="s">
        <v>45</v>
      </c>
      <c r="D91" s="181"/>
      <c r="E91" s="182"/>
      <c r="F91" s="149">
        <f>+F89+F90</f>
        <v>940</v>
      </c>
      <c r="G91" s="149"/>
      <c r="H91" s="149"/>
      <c r="I91" s="183">
        <f>+F91/$F$99</f>
        <v>8.5923217550274225E-2</v>
      </c>
      <c r="J91" s="184"/>
      <c r="K91" s="185"/>
      <c r="P91" s="47"/>
      <c r="Q91" s="47"/>
      <c r="R91" s="47"/>
      <c r="S91" s="48"/>
      <c r="T91" s="48"/>
      <c r="U91" s="48"/>
      <c r="V91" s="48"/>
    </row>
    <row r="92" spans="1:22" ht="14" x14ac:dyDescent="0.2">
      <c r="A92" s="41"/>
      <c r="B92" s="41"/>
      <c r="C92" s="165" t="s">
        <v>46</v>
      </c>
      <c r="D92" s="166"/>
      <c r="E92" s="166"/>
      <c r="F92" s="166"/>
      <c r="G92" s="166"/>
      <c r="H92" s="167"/>
      <c r="I92" s="168" t="s">
        <v>47</v>
      </c>
      <c r="J92" s="168"/>
      <c r="K92" s="168"/>
      <c r="P92" s="47"/>
      <c r="Q92" s="47"/>
      <c r="R92" s="47"/>
      <c r="S92" s="48"/>
      <c r="T92" s="48"/>
      <c r="U92" s="48"/>
      <c r="V92" s="48"/>
    </row>
    <row r="93" spans="1:22" ht="14" x14ac:dyDescent="0.2">
      <c r="A93" s="41"/>
      <c r="B93" s="41"/>
      <c r="C93" s="51"/>
      <c r="D93" s="169" t="s">
        <v>48</v>
      </c>
      <c r="E93" s="170"/>
      <c r="F93" s="171">
        <f>+(G35*H35)*80</f>
        <v>0</v>
      </c>
      <c r="G93" s="172"/>
      <c r="H93" s="173"/>
      <c r="I93" s="174">
        <f>+F93/$F$99</f>
        <v>0</v>
      </c>
      <c r="J93" s="175"/>
      <c r="K93" s="176"/>
      <c r="P93" s="47"/>
      <c r="Q93" s="47"/>
      <c r="R93" s="47"/>
      <c r="S93" s="48"/>
      <c r="T93" s="48"/>
      <c r="U93" s="48"/>
      <c r="V93" s="48"/>
    </row>
    <row r="94" spans="1:22" ht="14" x14ac:dyDescent="0.2">
      <c r="A94" s="41"/>
      <c r="B94" s="41"/>
      <c r="C94" s="51"/>
      <c r="D94" s="169" t="s">
        <v>49</v>
      </c>
      <c r="E94" s="170"/>
      <c r="F94" s="171">
        <f>+(16000/18)*F87</f>
        <v>0</v>
      </c>
      <c r="G94" s="172"/>
      <c r="H94" s="173"/>
      <c r="I94" s="174">
        <f t="shared" ref="I94:I99" si="61">+F94/$F$99</f>
        <v>0</v>
      </c>
      <c r="J94" s="175"/>
      <c r="K94" s="176"/>
      <c r="P94" s="47"/>
      <c r="Q94" s="47"/>
      <c r="R94" s="47"/>
      <c r="S94" s="48"/>
      <c r="T94" s="48"/>
      <c r="U94" s="48"/>
      <c r="V94" s="48"/>
    </row>
    <row r="95" spans="1:22" ht="14" x14ac:dyDescent="0.2">
      <c r="A95" s="41"/>
      <c r="B95" s="41"/>
      <c r="C95" s="51"/>
      <c r="D95" s="169" t="s">
        <v>50</v>
      </c>
      <c r="E95" s="170"/>
      <c r="F95" s="171">
        <f>+(90000/18)*F87</f>
        <v>0</v>
      </c>
      <c r="G95" s="172"/>
      <c r="H95" s="173"/>
      <c r="I95" s="174">
        <f t="shared" si="61"/>
        <v>0</v>
      </c>
      <c r="J95" s="175"/>
      <c r="K95" s="176"/>
      <c r="P95" s="47"/>
      <c r="Q95" s="47"/>
      <c r="R95" s="47"/>
      <c r="S95" s="48"/>
      <c r="T95" s="48"/>
      <c r="U95" s="48"/>
      <c r="V95" s="48"/>
    </row>
    <row r="96" spans="1:22" ht="14" x14ac:dyDescent="0.2">
      <c r="A96" s="41"/>
      <c r="B96" s="41"/>
      <c r="C96" s="51"/>
      <c r="D96" s="169" t="s">
        <v>51</v>
      </c>
      <c r="E96" s="170"/>
      <c r="F96" s="171">
        <f>6000*F87</f>
        <v>0</v>
      </c>
      <c r="G96" s="172"/>
      <c r="H96" s="173"/>
      <c r="I96" s="174">
        <f t="shared" si="61"/>
        <v>0</v>
      </c>
      <c r="J96" s="175"/>
      <c r="K96" s="176"/>
      <c r="P96" s="47"/>
      <c r="Q96" s="47"/>
      <c r="R96" s="47"/>
      <c r="S96" s="48"/>
      <c r="T96" s="48"/>
      <c r="U96" s="48"/>
      <c r="V96" s="48"/>
    </row>
    <row r="97" spans="1:22" ht="14" x14ac:dyDescent="0.2">
      <c r="C97" s="51"/>
      <c r="D97" s="169" t="s">
        <v>52</v>
      </c>
      <c r="E97" s="170"/>
      <c r="F97" s="171">
        <v>10000</v>
      </c>
      <c r="G97" s="172"/>
      <c r="H97" s="173"/>
      <c r="I97" s="174">
        <f t="shared" si="61"/>
        <v>0.91407678244972579</v>
      </c>
      <c r="J97" s="175"/>
      <c r="K97" s="176"/>
      <c r="P97" s="47"/>
      <c r="Q97" s="47"/>
      <c r="R97" s="47"/>
      <c r="S97" s="48"/>
      <c r="T97" s="48"/>
      <c r="U97" s="48"/>
      <c r="V97" s="48"/>
    </row>
    <row r="98" spans="1:22" ht="14" x14ac:dyDescent="0.2">
      <c r="C98" s="165" t="s">
        <v>53</v>
      </c>
      <c r="D98" s="166"/>
      <c r="E98" s="167"/>
      <c r="F98" s="186">
        <f>+SUM(F93:H97)</f>
        <v>10000</v>
      </c>
      <c r="G98" s="187"/>
      <c r="H98" s="188"/>
      <c r="I98" s="189">
        <f t="shared" si="61"/>
        <v>0.91407678244972579</v>
      </c>
      <c r="J98" s="190"/>
      <c r="K98" s="191"/>
      <c r="P98" s="47"/>
      <c r="Q98" s="47"/>
      <c r="R98" s="47"/>
      <c r="S98" s="48"/>
      <c r="T98" s="48"/>
      <c r="U98" s="48"/>
      <c r="V98" s="48"/>
    </row>
    <row r="99" spans="1:22" ht="14" x14ac:dyDescent="0.2">
      <c r="C99" s="203" t="s">
        <v>54</v>
      </c>
      <c r="D99" s="204"/>
      <c r="E99" s="205"/>
      <c r="F99" s="206">
        <f>+F91+F98</f>
        <v>10940</v>
      </c>
      <c r="G99" s="206"/>
      <c r="H99" s="206"/>
      <c r="I99" s="207">
        <f t="shared" si="61"/>
        <v>1</v>
      </c>
      <c r="J99" s="208"/>
      <c r="K99" s="209"/>
      <c r="Q99" s="48"/>
      <c r="R99" s="48"/>
      <c r="S99" s="48"/>
      <c r="T99" s="48"/>
      <c r="U99" s="48"/>
      <c r="V99" s="48"/>
    </row>
    <row r="100" spans="1:22" x14ac:dyDescent="0.15">
      <c r="C100" s="210" t="s">
        <v>55</v>
      </c>
      <c r="D100" s="210"/>
      <c r="E100" s="210"/>
      <c r="F100" s="211">
        <f>L82-F99</f>
        <v>-10940</v>
      </c>
      <c r="G100" s="211"/>
      <c r="H100" s="211"/>
      <c r="I100" s="212">
        <f>+F100/F99</f>
        <v>-1</v>
      </c>
      <c r="J100" s="212"/>
      <c r="K100" s="212"/>
    </row>
    <row r="101" spans="1:22" x14ac:dyDescent="0.15">
      <c r="S101" s="192"/>
      <c r="T101" s="192"/>
      <c r="U101" s="192"/>
      <c r="V101" s="192"/>
    </row>
    <row r="102" spans="1:22" x14ac:dyDescent="0.15">
      <c r="S102" s="192"/>
      <c r="T102" s="192"/>
      <c r="U102" s="192"/>
      <c r="V102" s="192"/>
    </row>
    <row r="103" spans="1:22" x14ac:dyDescent="0.15">
      <c r="C103" s="99" t="s">
        <v>56</v>
      </c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1"/>
      <c r="S103" s="192"/>
      <c r="T103" s="192"/>
      <c r="U103" s="192"/>
      <c r="V103" s="192"/>
    </row>
    <row r="104" spans="1:22" s="54" customFormat="1" ht="75.75" customHeight="1" x14ac:dyDescent="0.2">
      <c r="A104" s="52"/>
      <c r="B104" s="53"/>
      <c r="C104" s="193"/>
      <c r="D104" s="194"/>
      <c r="E104" s="194"/>
      <c r="F104" s="194"/>
      <c r="G104" s="194"/>
      <c r="H104" s="194"/>
      <c r="I104" s="194"/>
      <c r="J104" s="194"/>
      <c r="K104" s="194"/>
      <c r="L104" s="194"/>
      <c r="M104" s="194"/>
      <c r="N104" s="194"/>
      <c r="O104" s="194"/>
      <c r="P104" s="194"/>
      <c r="Q104" s="195"/>
      <c r="S104" s="202"/>
      <c r="T104" s="202"/>
      <c r="U104" s="202"/>
      <c r="V104" s="202"/>
    </row>
    <row r="105" spans="1:22" s="54" customFormat="1" ht="75.75" customHeight="1" x14ac:dyDescent="0.2">
      <c r="A105" s="52"/>
      <c r="B105" s="53"/>
      <c r="C105" s="196"/>
      <c r="D105" s="197"/>
      <c r="E105" s="197"/>
      <c r="F105" s="197"/>
      <c r="G105" s="197"/>
      <c r="H105" s="197"/>
      <c r="I105" s="197"/>
      <c r="J105" s="197"/>
      <c r="K105" s="197"/>
      <c r="L105" s="197"/>
      <c r="M105" s="197"/>
      <c r="N105" s="197"/>
      <c r="O105" s="197"/>
      <c r="P105" s="197"/>
      <c r="Q105" s="198"/>
      <c r="S105" s="202"/>
      <c r="T105" s="202"/>
      <c r="U105" s="202"/>
      <c r="V105" s="202"/>
    </row>
    <row r="106" spans="1:22" s="54" customFormat="1" ht="75.75" customHeight="1" x14ac:dyDescent="0.2">
      <c r="A106" s="52"/>
      <c r="B106" s="53"/>
      <c r="C106" s="199"/>
      <c r="D106" s="200"/>
      <c r="E106" s="200"/>
      <c r="F106" s="200"/>
      <c r="G106" s="200"/>
      <c r="H106" s="200"/>
      <c r="I106" s="200"/>
      <c r="J106" s="200"/>
      <c r="K106" s="200"/>
      <c r="L106" s="200"/>
      <c r="M106" s="200"/>
      <c r="N106" s="200"/>
      <c r="O106" s="200"/>
      <c r="P106" s="200"/>
      <c r="Q106" s="201"/>
    </row>
    <row r="113" s="41" customFormat="1" x14ac:dyDescent="0.15"/>
    <row r="114" s="41" customFormat="1" x14ac:dyDescent="0.15"/>
    <row r="115" s="41" customFormat="1" x14ac:dyDescent="0.15"/>
    <row r="116" s="41" customFormat="1" x14ac:dyDescent="0.15"/>
    <row r="117" s="41" customFormat="1" x14ac:dyDescent="0.15"/>
    <row r="118" s="41" customFormat="1" x14ac:dyDescent="0.15"/>
    <row r="119" s="41" customFormat="1" x14ac:dyDescent="0.15"/>
    <row r="120" s="41" customFormat="1" x14ac:dyDescent="0.15"/>
    <row r="121" s="41" customFormat="1" x14ac:dyDescent="0.15"/>
    <row r="122" s="41" customFormat="1" x14ac:dyDescent="0.15"/>
    <row r="123" s="41" customFormat="1" x14ac:dyDescent="0.15"/>
    <row r="124" s="41" customFormat="1" x14ac:dyDescent="0.15"/>
    <row r="125" s="41" customFormat="1" x14ac:dyDescent="0.15"/>
    <row r="126" s="41" customFormat="1" x14ac:dyDescent="0.15"/>
    <row r="127" s="41" customFormat="1" x14ac:dyDescent="0.15"/>
    <row r="128" s="41" customFormat="1" x14ac:dyDescent="0.15"/>
    <row r="129" s="41" customFormat="1" x14ac:dyDescent="0.15"/>
    <row r="130" s="41" customFormat="1" x14ac:dyDescent="0.15"/>
    <row r="131" s="41" customFormat="1" x14ac:dyDescent="0.15"/>
    <row r="132" s="41" customFormat="1" x14ac:dyDescent="0.15"/>
    <row r="133" s="41" customFormat="1" x14ac:dyDescent="0.15"/>
    <row r="134" s="41" customFormat="1" x14ac:dyDescent="0.15"/>
    <row r="135" s="41" customFormat="1" x14ac:dyDescent="0.15"/>
    <row r="136" s="41" customFormat="1" x14ac:dyDescent="0.15"/>
    <row r="137" s="41" customFormat="1" x14ac:dyDescent="0.15"/>
    <row r="138" s="41" customFormat="1" x14ac:dyDescent="0.15"/>
    <row r="139" s="41" customFormat="1" x14ac:dyDescent="0.15"/>
    <row r="140" s="41" customFormat="1" x14ac:dyDescent="0.15"/>
    <row r="141" s="41" customFormat="1" x14ac:dyDescent="0.15"/>
    <row r="142" s="41" customFormat="1" x14ac:dyDescent="0.15"/>
    <row r="143" s="41" customFormat="1" x14ac:dyDescent="0.15"/>
    <row r="144" s="41" customFormat="1" x14ac:dyDescent="0.15"/>
    <row r="145" s="41" customFormat="1" x14ac:dyDescent="0.15"/>
    <row r="146" s="41" customFormat="1" x14ac:dyDescent="0.15"/>
    <row r="147" s="41" customFormat="1" x14ac:dyDescent="0.15"/>
    <row r="148" s="41" customFormat="1" x14ac:dyDescent="0.15"/>
    <row r="149" s="41" customFormat="1" x14ac:dyDescent="0.15"/>
    <row r="150" s="41" customFormat="1" x14ac:dyDescent="0.15"/>
    <row r="151" s="41" customFormat="1" x14ac:dyDescent="0.15"/>
    <row r="152" s="41" customFormat="1" x14ac:dyDescent="0.15"/>
    <row r="153" s="41" customFormat="1" x14ac:dyDescent="0.15"/>
    <row r="154" s="41" customFormat="1" x14ac:dyDescent="0.15"/>
    <row r="155" s="41" customFormat="1" x14ac:dyDescent="0.15"/>
    <row r="156" s="41" customFormat="1" x14ac:dyDescent="0.15"/>
    <row r="157" s="41" customFormat="1" x14ac:dyDescent="0.15"/>
    <row r="158" s="41" customFormat="1" x14ac:dyDescent="0.15"/>
    <row r="159" s="41" customFormat="1" x14ac:dyDescent="0.15"/>
    <row r="160" s="41" customFormat="1" x14ac:dyDescent="0.15"/>
    <row r="161" s="41" customFormat="1" x14ac:dyDescent="0.15"/>
    <row r="162" s="41" customFormat="1" x14ac:dyDescent="0.15"/>
    <row r="163" s="41" customFormat="1" x14ac:dyDescent="0.15"/>
    <row r="164" s="41" customFormat="1" x14ac:dyDescent="0.15"/>
    <row r="165" s="41" customFormat="1" x14ac:dyDescent="0.15"/>
    <row r="166" s="41" customFormat="1" x14ac:dyDescent="0.15"/>
    <row r="167" s="41" customFormat="1" x14ac:dyDescent="0.15"/>
    <row r="168" s="41" customFormat="1" x14ac:dyDescent="0.15"/>
    <row r="169" s="41" customFormat="1" x14ac:dyDescent="0.15"/>
    <row r="170" s="41" customFormat="1" x14ac:dyDescent="0.15"/>
    <row r="171" s="41" customFormat="1" x14ac:dyDescent="0.15"/>
    <row r="172" s="41" customFormat="1" x14ac:dyDescent="0.15"/>
    <row r="173" s="41" customFormat="1" x14ac:dyDescent="0.15"/>
    <row r="174" s="41" customFormat="1" x14ac:dyDescent="0.15"/>
    <row r="175" s="41" customFormat="1" x14ac:dyDescent="0.15"/>
    <row r="176" s="41" customFormat="1" x14ac:dyDescent="0.15"/>
    <row r="177" s="41" customFormat="1" x14ac:dyDescent="0.15"/>
    <row r="178" s="41" customFormat="1" x14ac:dyDescent="0.15"/>
    <row r="179" s="41" customFormat="1" x14ac:dyDescent="0.15"/>
    <row r="180" s="41" customFormat="1" x14ac:dyDescent="0.15"/>
    <row r="181" s="41" customFormat="1" x14ac:dyDescent="0.15"/>
    <row r="182" s="41" customFormat="1" x14ac:dyDescent="0.15"/>
    <row r="183" s="41" customFormat="1" x14ac:dyDescent="0.15"/>
    <row r="184" s="41" customFormat="1" x14ac:dyDescent="0.15"/>
    <row r="185" s="41" customFormat="1" x14ac:dyDescent="0.15"/>
    <row r="186" s="41" customFormat="1" x14ac:dyDescent="0.15"/>
    <row r="187" s="41" customFormat="1" x14ac:dyDescent="0.15"/>
    <row r="188" s="41" customFormat="1" x14ac:dyDescent="0.15"/>
    <row r="189" s="41" customFormat="1" x14ac:dyDescent="0.15"/>
    <row r="190" s="41" customFormat="1" x14ac:dyDescent="0.15"/>
    <row r="191" s="41" customFormat="1" x14ac:dyDescent="0.15"/>
    <row r="192" s="41" customFormat="1" x14ac:dyDescent="0.15"/>
    <row r="193" s="41" customFormat="1" x14ac:dyDescent="0.15"/>
    <row r="194" s="41" customFormat="1" x14ac:dyDescent="0.15"/>
    <row r="195" s="41" customFormat="1" x14ac:dyDescent="0.15"/>
    <row r="196" s="41" customFormat="1" x14ac:dyDescent="0.15"/>
    <row r="197" s="41" customFormat="1" x14ac:dyDescent="0.15"/>
    <row r="198" s="41" customFormat="1" x14ac:dyDescent="0.15"/>
    <row r="199" s="41" customFormat="1" x14ac:dyDescent="0.15"/>
    <row r="200" s="41" customFormat="1" x14ac:dyDescent="0.15"/>
    <row r="201" s="41" customFormat="1" x14ac:dyDescent="0.15"/>
    <row r="202" s="41" customFormat="1" x14ac:dyDescent="0.15"/>
    <row r="203" s="41" customFormat="1" x14ac:dyDescent="0.15"/>
    <row r="204" s="41" customFormat="1" x14ac:dyDescent="0.15"/>
    <row r="205" s="41" customFormat="1" x14ac:dyDescent="0.15"/>
    <row r="206" s="41" customFormat="1" x14ac:dyDescent="0.15"/>
    <row r="207" s="41" customFormat="1" x14ac:dyDescent="0.15"/>
  </sheetData>
  <mergeCells count="476">
    <mergeCell ref="S101:V101"/>
    <mergeCell ref="S102:V102"/>
    <mergeCell ref="C103:Q103"/>
    <mergeCell ref="S103:V103"/>
    <mergeCell ref="C104:Q106"/>
    <mergeCell ref="S104:V104"/>
    <mergeCell ref="S105:V105"/>
    <mergeCell ref="C99:E99"/>
    <mergeCell ref="F99:H99"/>
    <mergeCell ref="I99:K99"/>
    <mergeCell ref="C100:E100"/>
    <mergeCell ref="F100:H100"/>
    <mergeCell ref="I100:K100"/>
    <mergeCell ref="D97:E97"/>
    <mergeCell ref="F97:H97"/>
    <mergeCell ref="I97:K97"/>
    <mergeCell ref="C98:E98"/>
    <mergeCell ref="F98:H98"/>
    <mergeCell ref="I98:K98"/>
    <mergeCell ref="D95:E95"/>
    <mergeCell ref="F95:H95"/>
    <mergeCell ref="I95:K95"/>
    <mergeCell ref="D96:E96"/>
    <mergeCell ref="F96:H96"/>
    <mergeCell ref="I96:K96"/>
    <mergeCell ref="C92:H92"/>
    <mergeCell ref="I92:K92"/>
    <mergeCell ref="D93:E93"/>
    <mergeCell ref="F93:H93"/>
    <mergeCell ref="I93:K93"/>
    <mergeCell ref="D94:E94"/>
    <mergeCell ref="F94:H94"/>
    <mergeCell ref="I94:K94"/>
    <mergeCell ref="C90:E90"/>
    <mergeCell ref="F90:H90"/>
    <mergeCell ref="I90:K90"/>
    <mergeCell ref="C91:E91"/>
    <mergeCell ref="F91:H91"/>
    <mergeCell ref="I91:K91"/>
    <mergeCell ref="C87:E87"/>
    <mergeCell ref="F87:H87"/>
    <mergeCell ref="C88:H88"/>
    <mergeCell ref="I88:K88"/>
    <mergeCell ref="C89:E89"/>
    <mergeCell ref="F89:H89"/>
    <mergeCell ref="I89:K89"/>
    <mergeCell ref="O83:Q83"/>
    <mergeCell ref="C84:E84"/>
    <mergeCell ref="F84:H84"/>
    <mergeCell ref="L84:N84"/>
    <mergeCell ref="O84:Q84"/>
    <mergeCell ref="C85:E85"/>
    <mergeCell ref="F85:H85"/>
    <mergeCell ref="L85:N85"/>
    <mergeCell ref="O85:Q85"/>
    <mergeCell ref="C81:E81"/>
    <mergeCell ref="F81:H81"/>
    <mergeCell ref="I81:K81"/>
    <mergeCell ref="L81:N81"/>
    <mergeCell ref="O81:Q81"/>
    <mergeCell ref="C82:E82"/>
    <mergeCell ref="F82:H82"/>
    <mergeCell ref="I82:K82"/>
    <mergeCell ref="L82:N82"/>
    <mergeCell ref="O82:Q82"/>
    <mergeCell ref="C79:E79"/>
    <mergeCell ref="F79:H79"/>
    <mergeCell ref="I79:K79"/>
    <mergeCell ref="L79:N79"/>
    <mergeCell ref="O79:Q79"/>
    <mergeCell ref="C80:E80"/>
    <mergeCell ref="F80:H80"/>
    <mergeCell ref="I80:K80"/>
    <mergeCell ref="L80:N80"/>
    <mergeCell ref="O80:Q80"/>
    <mergeCell ref="U77:V77"/>
    <mergeCell ref="C78:E78"/>
    <mergeCell ref="F78:H78"/>
    <mergeCell ref="I78:K78"/>
    <mergeCell ref="L78:N78"/>
    <mergeCell ref="O78:Q78"/>
    <mergeCell ref="C77:E77"/>
    <mergeCell ref="F77:H77"/>
    <mergeCell ref="I77:K77"/>
    <mergeCell ref="L77:N77"/>
    <mergeCell ref="O77:Q77"/>
    <mergeCell ref="R77:T77"/>
    <mergeCell ref="U75:V75"/>
    <mergeCell ref="C76:E76"/>
    <mergeCell ref="F76:H76"/>
    <mergeCell ref="I76:K76"/>
    <mergeCell ref="L76:N76"/>
    <mergeCell ref="O76:Q76"/>
    <mergeCell ref="R76:T76"/>
    <mergeCell ref="U76:V76"/>
    <mergeCell ref="C75:E75"/>
    <mergeCell ref="F75:H75"/>
    <mergeCell ref="I75:K75"/>
    <mergeCell ref="L75:N75"/>
    <mergeCell ref="O75:Q75"/>
    <mergeCell ref="R75:T75"/>
    <mergeCell ref="C73:E73"/>
    <mergeCell ref="F73:H73"/>
    <mergeCell ref="I73:K73"/>
    <mergeCell ref="L73:N73"/>
    <mergeCell ref="O73:Q73"/>
    <mergeCell ref="C74:Q74"/>
    <mergeCell ref="C71:E71"/>
    <mergeCell ref="F71:H71"/>
    <mergeCell ref="I71:K71"/>
    <mergeCell ref="L71:N71"/>
    <mergeCell ref="O71:Q71"/>
    <mergeCell ref="C72:E72"/>
    <mergeCell ref="F72:H72"/>
    <mergeCell ref="I72:K72"/>
    <mergeCell ref="L72:N72"/>
    <mergeCell ref="O72:Q72"/>
    <mergeCell ref="U69:V69"/>
    <mergeCell ref="C70:E70"/>
    <mergeCell ref="F70:H70"/>
    <mergeCell ref="I70:K70"/>
    <mergeCell ref="L70:N70"/>
    <mergeCell ref="O70:Q70"/>
    <mergeCell ref="C69:E69"/>
    <mergeCell ref="F69:H69"/>
    <mergeCell ref="I69:K69"/>
    <mergeCell ref="L69:N69"/>
    <mergeCell ref="O69:Q69"/>
    <mergeCell ref="R69:T69"/>
    <mergeCell ref="U67:V67"/>
    <mergeCell ref="C68:E68"/>
    <mergeCell ref="F68:H68"/>
    <mergeCell ref="I68:K68"/>
    <mergeCell ref="L68:N68"/>
    <mergeCell ref="O68:Q68"/>
    <mergeCell ref="R68:T68"/>
    <mergeCell ref="U68:V68"/>
    <mergeCell ref="C67:E67"/>
    <mergeCell ref="F67:H67"/>
    <mergeCell ref="I67:K67"/>
    <mergeCell ref="L67:N67"/>
    <mergeCell ref="O67:Q67"/>
    <mergeCell ref="R67:T67"/>
    <mergeCell ref="C65:E65"/>
    <mergeCell ref="F65:H65"/>
    <mergeCell ref="I65:K65"/>
    <mergeCell ref="L65:N65"/>
    <mergeCell ref="O65:Q65"/>
    <mergeCell ref="C66:Q66"/>
    <mergeCell ref="C63:E63"/>
    <mergeCell ref="F63:H63"/>
    <mergeCell ref="I63:K63"/>
    <mergeCell ref="L63:N63"/>
    <mergeCell ref="O63:Q63"/>
    <mergeCell ref="C64:E64"/>
    <mergeCell ref="F64:H64"/>
    <mergeCell ref="I64:K64"/>
    <mergeCell ref="L64:N64"/>
    <mergeCell ref="O64:Q64"/>
    <mergeCell ref="C61:E61"/>
    <mergeCell ref="F61:H61"/>
    <mergeCell ref="I61:K61"/>
    <mergeCell ref="L61:N61"/>
    <mergeCell ref="O61:Q61"/>
    <mergeCell ref="C62:E62"/>
    <mergeCell ref="F62:H62"/>
    <mergeCell ref="I62:K62"/>
    <mergeCell ref="L62:N62"/>
    <mergeCell ref="O62:Q62"/>
    <mergeCell ref="U59:V59"/>
    <mergeCell ref="C60:E60"/>
    <mergeCell ref="F60:H60"/>
    <mergeCell ref="I60:K60"/>
    <mergeCell ref="L60:N60"/>
    <mergeCell ref="O60:Q60"/>
    <mergeCell ref="C59:E59"/>
    <mergeCell ref="F59:H59"/>
    <mergeCell ref="I59:K59"/>
    <mergeCell ref="L59:N59"/>
    <mergeCell ref="O59:Q59"/>
    <mergeCell ref="R59:T59"/>
    <mergeCell ref="R57:T57"/>
    <mergeCell ref="U57:V57"/>
    <mergeCell ref="C58:E58"/>
    <mergeCell ref="F58:H58"/>
    <mergeCell ref="I58:K58"/>
    <mergeCell ref="L58:N58"/>
    <mergeCell ref="O58:Q58"/>
    <mergeCell ref="R58:T58"/>
    <mergeCell ref="U58:V58"/>
    <mergeCell ref="C56:Q56"/>
    <mergeCell ref="C57:E57"/>
    <mergeCell ref="F57:H57"/>
    <mergeCell ref="I57:K57"/>
    <mergeCell ref="L57:N57"/>
    <mergeCell ref="O57:Q57"/>
    <mergeCell ref="K54:Q54"/>
    <mergeCell ref="C55:E55"/>
    <mergeCell ref="F55:H55"/>
    <mergeCell ref="I55:K55"/>
    <mergeCell ref="L55:N55"/>
    <mergeCell ref="O55:Q55"/>
    <mergeCell ref="C49:F49"/>
    <mergeCell ref="C50:D50"/>
    <mergeCell ref="E50:F50"/>
    <mergeCell ref="C51:D51"/>
    <mergeCell ref="E51:F51"/>
    <mergeCell ref="C54:J54"/>
    <mergeCell ref="C46:E46"/>
    <mergeCell ref="F46:H46"/>
    <mergeCell ref="I46:K46"/>
    <mergeCell ref="L46:N46"/>
    <mergeCell ref="O46:Q46"/>
    <mergeCell ref="C47:E47"/>
    <mergeCell ref="F47:H47"/>
    <mergeCell ref="I47:K47"/>
    <mergeCell ref="L47:N47"/>
    <mergeCell ref="O47:Q47"/>
    <mergeCell ref="C43:D43"/>
    <mergeCell ref="E43:H43"/>
    <mergeCell ref="I43:K43"/>
    <mergeCell ref="L43:N43"/>
    <mergeCell ref="C44:D44"/>
    <mergeCell ref="E44:H44"/>
    <mergeCell ref="I44:K44"/>
    <mergeCell ref="L44:N44"/>
    <mergeCell ref="W41:Y41"/>
    <mergeCell ref="C42:D42"/>
    <mergeCell ref="E42:H42"/>
    <mergeCell ref="I42:K42"/>
    <mergeCell ref="L42:N42"/>
    <mergeCell ref="P42:S42"/>
    <mergeCell ref="T42:V42"/>
    <mergeCell ref="W42:Y42"/>
    <mergeCell ref="C41:D41"/>
    <mergeCell ref="E41:H41"/>
    <mergeCell ref="I41:K41"/>
    <mergeCell ref="L41:N41"/>
    <mergeCell ref="P41:S41"/>
    <mergeCell ref="T41:V41"/>
    <mergeCell ref="GI36:GJ36"/>
    <mergeCell ref="GK36:GL36"/>
    <mergeCell ref="GP36:GQ36"/>
    <mergeCell ref="GR36:GS36"/>
    <mergeCell ref="C39:F39"/>
    <mergeCell ref="H39:N39"/>
    <mergeCell ref="FN36:FO36"/>
    <mergeCell ref="FP36:FQ36"/>
    <mergeCell ref="FU36:FV36"/>
    <mergeCell ref="FW36:FX36"/>
    <mergeCell ref="GB36:GC36"/>
    <mergeCell ref="GD36:GE36"/>
    <mergeCell ref="ES36:ET36"/>
    <mergeCell ref="EU36:EV36"/>
    <mergeCell ref="EZ36:FA36"/>
    <mergeCell ref="FB36:FC36"/>
    <mergeCell ref="FG36:FH36"/>
    <mergeCell ref="FI36:FJ36"/>
    <mergeCell ref="DX36:DY36"/>
    <mergeCell ref="DZ36:EA36"/>
    <mergeCell ref="EE36:EF36"/>
    <mergeCell ref="EG36:EH36"/>
    <mergeCell ref="EL36:EM36"/>
    <mergeCell ref="EN36:EO36"/>
    <mergeCell ref="DC36:DD36"/>
    <mergeCell ref="DE36:DF36"/>
    <mergeCell ref="DJ36:DK36"/>
    <mergeCell ref="DL36:DM36"/>
    <mergeCell ref="DQ36:DR36"/>
    <mergeCell ref="DS36:DT36"/>
    <mergeCell ref="CH36:CI36"/>
    <mergeCell ref="CJ36:CK36"/>
    <mergeCell ref="CO36:CP36"/>
    <mergeCell ref="CQ36:CR36"/>
    <mergeCell ref="CV36:CW36"/>
    <mergeCell ref="CX36:CY36"/>
    <mergeCell ref="BM36:BN36"/>
    <mergeCell ref="BO36:BP36"/>
    <mergeCell ref="BT36:BU36"/>
    <mergeCell ref="BV36:BW36"/>
    <mergeCell ref="CA36:CB36"/>
    <mergeCell ref="CC36:CD36"/>
    <mergeCell ref="AR36:AS36"/>
    <mergeCell ref="AT36:AU36"/>
    <mergeCell ref="AY36:AZ36"/>
    <mergeCell ref="BA36:BB36"/>
    <mergeCell ref="BF36:BG36"/>
    <mergeCell ref="BH36:BI36"/>
    <mergeCell ref="W36:X36"/>
    <mergeCell ref="Y36:Z36"/>
    <mergeCell ref="AD36:AE36"/>
    <mergeCell ref="AF36:AG36"/>
    <mergeCell ref="AK36:AL36"/>
    <mergeCell ref="AM36:AN36"/>
    <mergeCell ref="GT2:GT3"/>
    <mergeCell ref="GU2:GU3"/>
    <mergeCell ref="GV2:GV3"/>
    <mergeCell ref="GN2:GN3"/>
    <mergeCell ref="GO2:GO3"/>
    <mergeCell ref="GP2:GQ2"/>
    <mergeCell ref="GR2:GS2"/>
    <mergeCell ref="FP2:FQ2"/>
    <mergeCell ref="FR2:FR3"/>
    <mergeCell ref="FS2:FS3"/>
    <mergeCell ref="FD2:FD3"/>
    <mergeCell ref="FE2:FE3"/>
    <mergeCell ref="FF2:FF3"/>
    <mergeCell ref="FG2:FH2"/>
    <mergeCell ref="FI2:FJ2"/>
    <mergeCell ref="FK2:FK3"/>
    <mergeCell ref="EU2:EV2"/>
    <mergeCell ref="EW2:EW3"/>
    <mergeCell ref="B36:C36"/>
    <mergeCell ref="D36:E36"/>
    <mergeCell ref="G36:H36"/>
    <mergeCell ref="I36:J36"/>
    <mergeCell ref="K36:L36"/>
    <mergeCell ref="P36:Q36"/>
    <mergeCell ref="R36:S36"/>
    <mergeCell ref="GK2:GL2"/>
    <mergeCell ref="GM2:GM3"/>
    <mergeCell ref="GB2:GC2"/>
    <mergeCell ref="GD2:GE2"/>
    <mergeCell ref="GF2:GF3"/>
    <mergeCell ref="GG2:GG3"/>
    <mergeCell ref="GH2:GH3"/>
    <mergeCell ref="GI2:GJ2"/>
    <mergeCell ref="FT2:FT3"/>
    <mergeCell ref="FU2:FV2"/>
    <mergeCell ref="FW2:FX2"/>
    <mergeCell ref="FY2:FY3"/>
    <mergeCell ref="FZ2:FZ3"/>
    <mergeCell ref="GA2:GA3"/>
    <mergeCell ref="FL2:FL3"/>
    <mergeCell ref="FM2:FM3"/>
    <mergeCell ref="FN2:FO2"/>
    <mergeCell ref="EX2:EX3"/>
    <mergeCell ref="EY2:EY3"/>
    <mergeCell ref="EZ2:FA2"/>
    <mergeCell ref="FB2:FC2"/>
    <mergeCell ref="EL2:EM2"/>
    <mergeCell ref="EN2:EO2"/>
    <mergeCell ref="EP2:EP3"/>
    <mergeCell ref="EQ2:EQ3"/>
    <mergeCell ref="ER2:ER3"/>
    <mergeCell ref="ES2:ET2"/>
    <mergeCell ref="ED2:ED3"/>
    <mergeCell ref="EE2:EF2"/>
    <mergeCell ref="EG2:EH2"/>
    <mergeCell ref="EI2:EI3"/>
    <mergeCell ref="EJ2:EJ3"/>
    <mergeCell ref="EK2:EK3"/>
    <mergeCell ref="DV2:DV3"/>
    <mergeCell ref="DW2:DW3"/>
    <mergeCell ref="DX2:DY2"/>
    <mergeCell ref="DZ2:EA2"/>
    <mergeCell ref="EB2:EB3"/>
    <mergeCell ref="EC2:EC3"/>
    <mergeCell ref="DN2:DN3"/>
    <mergeCell ref="DO2:DO3"/>
    <mergeCell ref="DP2:DP3"/>
    <mergeCell ref="DQ2:DR2"/>
    <mergeCell ref="DS2:DT2"/>
    <mergeCell ref="DU2:DU3"/>
    <mergeCell ref="DE2:DF2"/>
    <mergeCell ref="DG2:DG3"/>
    <mergeCell ref="DH2:DH3"/>
    <mergeCell ref="DI2:DI3"/>
    <mergeCell ref="DJ2:DK2"/>
    <mergeCell ref="DL2:DM2"/>
    <mergeCell ref="CV2:CW2"/>
    <mergeCell ref="CX2:CY2"/>
    <mergeCell ref="CZ2:CZ3"/>
    <mergeCell ref="DA2:DA3"/>
    <mergeCell ref="DB2:DB3"/>
    <mergeCell ref="DC2:DD2"/>
    <mergeCell ref="CN2:CN3"/>
    <mergeCell ref="CO2:CP2"/>
    <mergeCell ref="CQ2:CR2"/>
    <mergeCell ref="CS2:CS3"/>
    <mergeCell ref="CT2:CT3"/>
    <mergeCell ref="CU2:CU3"/>
    <mergeCell ref="CF2:CF3"/>
    <mergeCell ref="CG2:CG3"/>
    <mergeCell ref="CH2:CI2"/>
    <mergeCell ref="CJ2:CK2"/>
    <mergeCell ref="CL2:CL3"/>
    <mergeCell ref="CM2:CM3"/>
    <mergeCell ref="BX2:BX3"/>
    <mergeCell ref="BY2:BY3"/>
    <mergeCell ref="BZ2:BZ3"/>
    <mergeCell ref="CA2:CB2"/>
    <mergeCell ref="CC2:CD2"/>
    <mergeCell ref="CE2:CE3"/>
    <mergeCell ref="BO2:BP2"/>
    <mergeCell ref="BQ2:BQ3"/>
    <mergeCell ref="BR2:BR3"/>
    <mergeCell ref="BS2:BS3"/>
    <mergeCell ref="BT2:BU2"/>
    <mergeCell ref="BV2:BW2"/>
    <mergeCell ref="BF2:BG2"/>
    <mergeCell ref="BH2:BI2"/>
    <mergeCell ref="BJ2:BJ3"/>
    <mergeCell ref="BK2:BK3"/>
    <mergeCell ref="BL2:BL3"/>
    <mergeCell ref="BM2:BN2"/>
    <mergeCell ref="AX2:AX3"/>
    <mergeCell ref="AY2:AZ2"/>
    <mergeCell ref="BA2:BB2"/>
    <mergeCell ref="BC2:BC3"/>
    <mergeCell ref="BD2:BD3"/>
    <mergeCell ref="BE2:BE3"/>
    <mergeCell ref="AP2:AP3"/>
    <mergeCell ref="AQ2:AQ3"/>
    <mergeCell ref="AR2:AS2"/>
    <mergeCell ref="AT2:AU2"/>
    <mergeCell ref="AV2:AV3"/>
    <mergeCell ref="AW2:AW3"/>
    <mergeCell ref="AJ2:AJ3"/>
    <mergeCell ref="AK2:AL2"/>
    <mergeCell ref="AM2:AN2"/>
    <mergeCell ref="AO2:AO3"/>
    <mergeCell ref="Y2:Z2"/>
    <mergeCell ref="AA2:AA3"/>
    <mergeCell ref="AB2:AB3"/>
    <mergeCell ref="AC2:AC3"/>
    <mergeCell ref="AD2:AE2"/>
    <mergeCell ref="AF2:AG2"/>
    <mergeCell ref="FG1:FM1"/>
    <mergeCell ref="FN1:FT1"/>
    <mergeCell ref="FU1:GA1"/>
    <mergeCell ref="GB1:GH1"/>
    <mergeCell ref="GI1:GO1"/>
    <mergeCell ref="GP1:GV1"/>
    <mergeCell ref="DQ1:DW1"/>
    <mergeCell ref="DX1:ED1"/>
    <mergeCell ref="EE1:EK1"/>
    <mergeCell ref="EL1:ER1"/>
    <mergeCell ref="ES1:EY1"/>
    <mergeCell ref="EZ1:FF1"/>
    <mergeCell ref="CA1:CG1"/>
    <mergeCell ref="CH1:CN1"/>
    <mergeCell ref="CO1:CU1"/>
    <mergeCell ref="CV1:DB1"/>
    <mergeCell ref="DC1:DI1"/>
    <mergeCell ref="DJ1:DP1"/>
    <mergeCell ref="AK1:AQ1"/>
    <mergeCell ref="AR1:AX1"/>
    <mergeCell ref="AY1:BE1"/>
    <mergeCell ref="BF1:BL1"/>
    <mergeCell ref="BM1:BS1"/>
    <mergeCell ref="BT1:BZ1"/>
    <mergeCell ref="A1:A2"/>
    <mergeCell ref="B1:H1"/>
    <mergeCell ref="I1:O1"/>
    <mergeCell ref="P1:V1"/>
    <mergeCell ref="W1:AC1"/>
    <mergeCell ref="AD1:AJ1"/>
    <mergeCell ref="B2:C2"/>
    <mergeCell ref="D2:E2"/>
    <mergeCell ref="F2:F3"/>
    <mergeCell ref="G2:G3"/>
    <mergeCell ref="P2:Q2"/>
    <mergeCell ref="R2:S2"/>
    <mergeCell ref="T2:T3"/>
    <mergeCell ref="U2:U3"/>
    <mergeCell ref="V2:V3"/>
    <mergeCell ref="W2:X2"/>
    <mergeCell ref="H2:H3"/>
    <mergeCell ref="I2:J2"/>
    <mergeCell ref="K2:L2"/>
    <mergeCell ref="M2:M3"/>
    <mergeCell ref="N2:N3"/>
    <mergeCell ref="O2:O3"/>
    <mergeCell ref="AH2:AH3"/>
    <mergeCell ref="AI2:AI3"/>
  </mergeCells>
  <dataValidations count="1">
    <dataValidation type="list" allowBlank="1" showInputMessage="1" showErrorMessage="1" sqref="O47:Q47" xr:uid="{95D791D7-37E6-454F-92DB-85B6F4547399}">
      <formula1>$U$46:$U$48</formula1>
    </dataValidation>
  </dataValidations>
  <pageMargins left="0.43" right="0.53" top="0.74803149606299213" bottom="0.74803149606299213" header="0.31496062992125984" footer="0.31496062992125984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11270-A8F1-F64E-A186-D92A03EED58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 ซ้าย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weerachai nieb</dc:creator>
  <cp:lastModifiedBy>weerachai nieb</cp:lastModifiedBy>
  <dcterms:created xsi:type="dcterms:W3CDTF">2026-04-05T13:49:14Z</dcterms:created>
  <dcterms:modified xsi:type="dcterms:W3CDTF">2026-04-08T13:43:13Z</dcterms:modified>
</cp:coreProperties>
</file>